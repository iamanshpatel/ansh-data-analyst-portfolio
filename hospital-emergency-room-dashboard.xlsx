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E98DDB37D192CA0/Documents/"/>
    </mc:Choice>
  </mc:AlternateContent>
  <xr:revisionPtr revIDLastSave="1582" documentId="8_{5FEB15D5-4F42-4456-B8B5-09FF9799869A}" xr6:coauthVersionLast="47" xr6:coauthVersionMax="47" xr10:uidLastSave="{BBDDDF23-C472-42A7-8460-40BBB560A0C3}"/>
  <bookViews>
    <workbookView xWindow="-108" yWindow="-108" windowWidth="23256" windowHeight="12456" firstSheet="1" activeTab="1" xr2:uid="{1A94E972-5449-4419-91F7-0BE152C4597D}"/>
  </bookViews>
  <sheets>
    <sheet name="Pivote Report" sheetId="1" r:id="rId1"/>
    <sheet name="Dashboard" sheetId="3" r:id="rId2"/>
    <sheet name="Average wait time daily trends" sheetId="5" r:id="rId3"/>
    <sheet name="Daily no. of Patient" sheetId="4" r:id="rId4"/>
    <sheet name="Satisfaction of Daily Trends" sheetId="6" r:id="rId5"/>
  </sheets>
  <definedNames>
    <definedName name="Slicer_Date__Month1">#N/A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7d83c1a-9b72-4d0c-843b-e5852f17b7db" name="Hospital Emergency Room Data" connection="Query - Hospital Emergency Room Data"/>
          <x15:modelTable id="Calender_Table_21a93368-c120-42a0-badd-d8ded95f099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C50" i="1"/>
  <c r="B49" i="1"/>
  <c r="C49" i="1"/>
  <c r="A49"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92F3EB-6156-478D-82E7-66A8B15DDE63}" name="Query - Calender_Table" description="Connection to the 'Calender_Table' query in the workbook." type="100" refreshedVersion="8" minRefreshableVersion="5">
    <extLst>
      <ext xmlns:x15="http://schemas.microsoft.com/office/spreadsheetml/2010/11/main" uri="{DE250136-89BD-433C-8126-D09CA5730AF9}">
        <x15:connection id="acb3525c-b30d-4fac-8e26-569de041c677"/>
      </ext>
    </extLst>
  </connection>
  <connection id="2" xr16:uid="{79D778D8-1FA8-4235-8EFC-EEAD7AA6CCC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8c7bd6a-c9a5-437d-b37f-b409e6d90e86"/>
      </ext>
    </extLst>
  </connection>
  <connection id="3" xr16:uid="{08CFEC2F-F7A4-4A69-B0CF-CE919CD7B9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<sst xmlns="http://schemas.openxmlformats.org/spreadsheetml/2006/main" count="192" uniqueCount="77">
  <si>
    <t xml:space="preserve"> </t>
  </si>
  <si>
    <t>Distinct Count of Patient Id</t>
  </si>
  <si>
    <t>No. of patient</t>
  </si>
  <si>
    <t>Average of Patient Waittime</t>
  </si>
  <si>
    <t>Average of Patient Satisfaction Score</t>
  </si>
  <si>
    <t>Grand Total</t>
  </si>
  <si>
    <t>Row Labels</t>
  </si>
  <si>
    <t>daily trends of no of patient</t>
  </si>
  <si>
    <t>average wait time</t>
  </si>
  <si>
    <t>Satisfaction of Daily Trends</t>
  </si>
  <si>
    <t>Count of Patiente attende Status</t>
  </si>
  <si>
    <t>Count of Patient Admission Flag</t>
  </si>
  <si>
    <t>Admitted</t>
  </si>
  <si>
    <t>Not Admitted</t>
  </si>
  <si>
    <t>Count of Patient Admission Flag2</t>
  </si>
  <si>
    <t>Admission Status</t>
  </si>
  <si>
    <t>No. of Patient</t>
  </si>
  <si>
    <t>% of Total</t>
  </si>
  <si>
    <t>Status in %</t>
  </si>
  <si>
    <t>0-09</t>
  </si>
  <si>
    <t>10-19</t>
  </si>
  <si>
    <t>20-29</t>
  </si>
  <si>
    <t>30-39</t>
  </si>
  <si>
    <t>40-49</t>
  </si>
  <si>
    <t>50-59</t>
  </si>
  <si>
    <t>60-99</t>
  </si>
  <si>
    <t>70-79</t>
  </si>
  <si>
    <t>Count of Age Group</t>
  </si>
  <si>
    <t xml:space="preserve">age group wise analysis </t>
  </si>
  <si>
    <t>Delay</t>
  </si>
  <si>
    <t>Ontime</t>
  </si>
  <si>
    <t>Attended status</t>
  </si>
  <si>
    <t>Female</t>
  </si>
  <si>
    <t>Male</t>
  </si>
  <si>
    <t>Count of Patient Gender</t>
  </si>
  <si>
    <t>Gender wise</t>
  </si>
  <si>
    <t>Cardiology</t>
  </si>
  <si>
    <t>Gastroenterology</t>
  </si>
  <si>
    <t>General Practice</t>
  </si>
  <si>
    <t>Neurology</t>
  </si>
  <si>
    <t>None</t>
  </si>
  <si>
    <t>Orthopedics</t>
  </si>
  <si>
    <t>Physiotherapy</t>
  </si>
  <si>
    <t>Renal</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</si>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</sst>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6"/>
      <color rgb="FF000000"/>
      <name val="Aptos Narrow"/>
      <family val="2"/>
      <scheme val="minor"/>
    </font>
  </fonts>
  <fills count="5">
    <fill>
      <patternFill patternType="none"/>
    </fill>
    <fill>
      <patternFill patternType="gray125"/>
    </fill>
    <fill>
      <patternFill patternType="solid">
        <fgColor theme="1" tint="0.14999847407452621"/>
        <bgColor indexed="64"/>
      </patternFill>
    </fill>
    <fill>
      <patternFill patternType="solid">
        <fgColor theme="2" tint="-9.9978637043366805E-2"/>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9" fontId="0" fillId="0" borderId="0" xfId="1" applyFont="1" applyAlignment="1">
      <alignment horizontal="center"/>
    </xf>
    <xf numFmtId="0" fontId="2" fillId="0" borderId="0" xfId="0" applyFont="1"/>
  </cellXfs>
  <cellStyles count="2">
    <cellStyle name="Normal" xfId="0" builtinId="0"/>
    <cellStyle name="Percent" xfId="1" builtinId="5"/>
  </cellStyles>
  <dxfs count="18">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font>
        <b/>
        <color theme="1"/>
      </font>
      <border>
        <bottom style="thin">
          <color theme="5"/>
        </bottom>
        <vertical/>
        <horizontal/>
      </border>
    </dxf>
    <dxf>
      <font>
        <sz val="10"/>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B761296F-B6D5-4A4D-8549-8129CD436AE5}">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5.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Report!PivotTable8</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wrap="square" lIns="38100" tIns="19050" rIns="38100" bIns="19050" anchor="ctr">
                <a:spAutoFit/>
              </a:bodyPr>
              <a:lstStyle/>
              <a:p>
                <a:pPr>
                  <a:defRPr/>
                </a:pPr>
                <a:fld id="{71B18287-E587-47F0-A30B-563B6E783728}"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wrap="square" lIns="38100" tIns="19050" rIns="38100" bIns="19050" anchor="ctr">
                <a:spAutoFit/>
              </a:bodyPr>
              <a:lstStyle/>
              <a:p>
                <a:pPr>
                  <a:defRPr/>
                </a:pPr>
                <a:fld id="{FA2744FB-E258-4680-BCC5-0E7804ECB64B}"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2.4318095656164562E-2"/>
          <c:y val="1.1002385324459034E-2"/>
          <c:w val="0.97447024360392354"/>
          <c:h val="0.98899729374728351"/>
        </c:manualLayout>
      </c:layout>
      <c:barChart>
        <c:barDir val="bar"/>
        <c:grouping val="clustered"/>
        <c:varyColors val="0"/>
        <c:ser>
          <c:idx val="0"/>
          <c:order val="0"/>
          <c:tx>
            <c:strRef>
              <c:f>'Pivote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EF5-4731-848D-200B9CEA1286}"/>
              </c:ext>
            </c:extLst>
          </c:dPt>
          <c:dPt>
            <c:idx val="1"/>
            <c:invertIfNegative val="0"/>
            <c:bubble3D val="0"/>
            <c:extLst>
              <c:ext xmlns:c16="http://schemas.microsoft.com/office/drawing/2014/chart" uri="{C3380CC4-5D6E-409C-BE32-E72D297353CC}">
                <c16:uniqueId val="{00000001-EEF5-4731-848D-200B9CEA1286}"/>
              </c:ext>
            </c:extLst>
          </c:dPt>
          <c:dLbls>
            <c:dLbl>
              <c:idx val="0"/>
              <c:tx>
                <c:rich>
                  <a:bodyPr/>
                  <a:lstStyle/>
                  <a:p>
                    <a:fld id="{71B18287-E587-47F0-A30B-563B6E78372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EF5-4731-848D-200B9CEA1286}"/>
                </c:ext>
              </c:extLst>
            </c:dLbl>
            <c:dLbl>
              <c:idx val="1"/>
              <c:tx>
                <c:rich>
                  <a:bodyPr/>
                  <a:lstStyle/>
                  <a:p>
                    <a:fld id="{FA2744FB-E258-4680-BCC5-0E7804ECB64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F5-4731-848D-200B9CEA1286}"/>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'Pivote Report'!$A$41:$A$43</c:f>
              <c:strCache>
                <c:ptCount val="2"/>
                <c:pt idx="0">
                  <c:v>Admitted</c:v>
                </c:pt>
                <c:pt idx="1">
                  <c:v>Not Admitted</c:v>
                </c:pt>
              </c:strCache>
            </c:strRef>
          </c:cat>
          <c:val>
            <c:numRef>
              <c:f>'Pivote Report'!$B$41:$B$43</c:f>
              <c:numCache>
                <c:formatCode>0</c:formatCode>
                <c:ptCount val="2"/>
                <c:pt idx="0">
                  <c:v>266</c:v>
                </c:pt>
                <c:pt idx="1">
                  <c:v>253</c:v>
                </c:pt>
              </c:numCache>
            </c:numRef>
          </c:val>
          <c:extLst>
            <c:ext xmlns:c16="http://schemas.microsoft.com/office/drawing/2014/chart" uri="{C3380CC4-5D6E-409C-BE32-E72D297353CC}">
              <c16:uniqueId val="{00000002-FF0E-4A72-A03C-671FF957C1BE}"/>
            </c:ext>
          </c:extLst>
        </c:ser>
        <c:ser>
          <c:idx val="1"/>
          <c:order val="1"/>
          <c:tx>
            <c:strRef>
              <c:f>'Pivote Report'!$C$40</c:f>
              <c:strCache>
                <c:ptCount val="1"/>
                <c:pt idx="0">
                  <c:v>Count of Patient Admission Flag2</c:v>
                </c:pt>
              </c:strCache>
            </c:strRef>
          </c:tx>
          <c:spPr>
            <a:solidFill>
              <a:schemeClr val="accent2"/>
            </a:solidFill>
            <a:ln>
              <a:noFill/>
            </a:ln>
            <a:effectLst/>
          </c:spPr>
          <c:invertIfNegative val="0"/>
          <c:cat>
            <c:strRef>
              <c:f>'Pivote Report'!$A$41:$A$43</c:f>
              <c:strCache>
                <c:ptCount val="2"/>
                <c:pt idx="0">
                  <c:v>Admitted</c:v>
                </c:pt>
                <c:pt idx="1">
                  <c:v>Not Admitted</c:v>
                </c:pt>
              </c:strCache>
            </c:strRef>
          </c:cat>
          <c:val>
            <c:numRef>
              <c:f>'Pivote Report'!$C$41:$C$43</c:f>
              <c:numCache>
                <c:formatCode>0.00%</c:formatCode>
                <c:ptCount val="2"/>
                <c:pt idx="0">
                  <c:v>0.51252408477842004</c:v>
                </c:pt>
                <c:pt idx="1">
                  <c:v>0.48747591522157996</c:v>
                </c:pt>
              </c:numCache>
            </c:numRef>
          </c:val>
          <c:extLst>
            <c:ext xmlns:c16="http://schemas.microsoft.com/office/drawing/2014/chart" uri="{C3380CC4-5D6E-409C-BE32-E72D297353CC}">
              <c16:uniqueId val="{00000003-FF0E-4A72-A03C-671FF957C1BE}"/>
            </c:ext>
          </c:extLst>
        </c:ser>
        <c:dLbls>
          <c:showLegendKey val="0"/>
          <c:showVal val="0"/>
          <c:showCatName val="0"/>
          <c:showSerName val="0"/>
          <c:showPercent val="0"/>
          <c:showBubbleSize val="0"/>
        </c:dLbls>
        <c:gapWidth val="182"/>
        <c:axId val="425900207"/>
        <c:axId val="1005354448"/>
      </c:barChart>
      <c:catAx>
        <c:axId val="425900207"/>
        <c:scaling>
          <c:orientation val="minMax"/>
        </c:scaling>
        <c:delete val="1"/>
        <c:axPos val="l"/>
        <c:numFmt formatCode="General" sourceLinked="1"/>
        <c:majorTickMark val="none"/>
        <c:minorTickMark val="none"/>
        <c:tickLblPos val="nextTo"/>
        <c:crossAx val="1005354448"/>
        <c:crosses val="autoZero"/>
        <c:auto val="1"/>
        <c:lblAlgn val="ctr"/>
        <c:lblOffset val="100"/>
        <c:noMultiLvlLbl val="0"/>
      </c:catAx>
      <c:valAx>
        <c:axId val="1005354448"/>
        <c:scaling>
          <c:orientation val="minMax"/>
        </c:scaling>
        <c:delete val="1"/>
        <c:axPos val="b"/>
        <c:numFmt formatCode="0" sourceLinked="1"/>
        <c:majorTickMark val="none"/>
        <c:minorTickMark val="none"/>
        <c:tickLblPos val="nextTo"/>
        <c:crossAx val="4259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Report!PivotTable4</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accent1">
                <a:alpha val="87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solidFill>
              <a:schemeClr val="accent1">
                <a:alpha val="87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solidFill>
              <a:schemeClr val="accen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22728809060948E-2"/>
          <c:y val="0.34127002610133478"/>
          <c:w val="0.90110602679835539"/>
          <c:h val="0.46644357221040866"/>
        </c:manualLayout>
      </c:layout>
      <c:areaChart>
        <c:grouping val="standard"/>
        <c:varyColors val="0"/>
        <c:ser>
          <c:idx val="0"/>
          <c:order val="0"/>
          <c:tx>
            <c:strRef>
              <c:f>'Pivote Report'!$F$5</c:f>
              <c:strCache>
                <c:ptCount val="1"/>
                <c:pt idx="0">
                  <c:v>Total</c:v>
                </c:pt>
              </c:strCache>
            </c:strRef>
          </c:tx>
          <c:spPr>
            <a:solidFill>
              <a:schemeClr val="accent1"/>
            </a:solidFill>
            <a:ln>
              <a:solidFill>
                <a:schemeClr val="accent1">
                  <a:alpha val="87000"/>
                </a:schemeClr>
              </a:solidFill>
            </a:ln>
            <a:effectLst/>
          </c:spPr>
          <c:cat>
            <c:strRef>
              <c:f>'Pivote Report'!$E$6:$E$37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Report'!$F$6:$F$37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0BE4-46C7-BC2E-6CFC005809F2}"/>
            </c:ext>
          </c:extLst>
        </c:ser>
        <c:dLbls>
          <c:showLegendKey val="0"/>
          <c:showVal val="0"/>
          <c:showCatName val="0"/>
          <c:showSerName val="0"/>
          <c:showPercent val="0"/>
          <c:showBubbleSize val="0"/>
        </c:dLbls>
        <c:axId val="554284255"/>
        <c:axId val="940983759"/>
      </c:areaChart>
      <c:catAx>
        <c:axId val="554284255"/>
        <c:scaling>
          <c:orientation val="minMax"/>
        </c:scaling>
        <c:delete val="1"/>
        <c:axPos val="b"/>
        <c:numFmt formatCode="General" sourceLinked="1"/>
        <c:majorTickMark val="out"/>
        <c:minorTickMark val="none"/>
        <c:tickLblPos val="nextTo"/>
        <c:crossAx val="940983759"/>
        <c:crosses val="autoZero"/>
        <c:auto val="1"/>
        <c:lblAlgn val="ctr"/>
        <c:lblOffset val="100"/>
        <c:noMultiLvlLbl val="0"/>
      </c:catAx>
      <c:valAx>
        <c:axId val="940983759"/>
        <c:scaling>
          <c:orientation val="minMax"/>
        </c:scaling>
        <c:delete val="1"/>
        <c:axPos val="l"/>
        <c:numFmt formatCode="General" sourceLinked="1"/>
        <c:majorTickMark val="none"/>
        <c:minorTickMark val="none"/>
        <c:tickLblPos val="nextTo"/>
        <c:crossAx val="554284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2679738562091505E-2"/>
          <c:w val="1"/>
          <c:h val="0.85605972982190781"/>
        </c:manualLayout>
      </c:layout>
      <c:areaChart>
        <c:grouping val="standard"/>
        <c:varyColors val="0"/>
        <c:ser>
          <c:idx val="0"/>
          <c:order val="0"/>
          <c:tx>
            <c:strRef>
              <c:f>'Pivote Report'!$O$5</c:f>
              <c:strCache>
                <c:ptCount val="1"/>
                <c:pt idx="0">
                  <c:v>Total</c:v>
                </c:pt>
              </c:strCache>
            </c:strRef>
          </c:tx>
          <c:spPr>
            <a:solidFill>
              <a:schemeClr val="accent1"/>
            </a:solidFill>
            <a:ln w="25400">
              <a:noFill/>
            </a:ln>
            <a:effectLst/>
          </c:spPr>
          <c:cat>
            <c:strRef>
              <c:f>'Pivote Report'!$N$6:$N$37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Report'!$O$6:$O$37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BEED-458A-A27C-7EF4624C4E08}"/>
            </c:ext>
          </c:extLst>
        </c:ser>
        <c:dLbls>
          <c:showLegendKey val="0"/>
          <c:showVal val="0"/>
          <c:showCatName val="0"/>
          <c:showSerName val="0"/>
          <c:showPercent val="0"/>
          <c:showBubbleSize val="0"/>
        </c:dLbls>
        <c:axId val="2050787568"/>
        <c:axId val="413738031"/>
      </c:areaChart>
      <c:catAx>
        <c:axId val="2050787568"/>
        <c:scaling>
          <c:orientation val="minMax"/>
        </c:scaling>
        <c:delete val="1"/>
        <c:axPos val="b"/>
        <c:numFmt formatCode="General" sourceLinked="1"/>
        <c:majorTickMark val="out"/>
        <c:minorTickMark val="none"/>
        <c:tickLblPos val="nextTo"/>
        <c:crossAx val="413738031"/>
        <c:crosses val="autoZero"/>
        <c:auto val="1"/>
        <c:lblAlgn val="ctr"/>
        <c:lblOffset val="100"/>
        <c:noMultiLvlLbl val="0"/>
      </c:catAx>
      <c:valAx>
        <c:axId val="413738031"/>
        <c:scaling>
          <c:orientation val="minMax"/>
        </c:scaling>
        <c:delete val="1"/>
        <c:axPos val="l"/>
        <c:numFmt formatCode="0.00" sourceLinked="1"/>
        <c:majorTickMark val="none"/>
        <c:minorTickMark val="none"/>
        <c:tickLblPos val="nextTo"/>
        <c:crossAx val="2050787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7774162407657E-3"/>
          <c:w val="1"/>
          <c:h val="0.99537022258375918"/>
        </c:manualLayout>
      </c:layout>
      <c:areaChart>
        <c:grouping val="standard"/>
        <c:varyColors val="0"/>
        <c:ser>
          <c:idx val="0"/>
          <c:order val="0"/>
          <c:tx>
            <c:strRef>
              <c:f>'Pivote Report'!$T$5</c:f>
              <c:strCache>
                <c:ptCount val="1"/>
                <c:pt idx="0">
                  <c:v>Total</c:v>
                </c:pt>
              </c:strCache>
            </c:strRef>
          </c:tx>
          <c:spPr>
            <a:solidFill>
              <a:schemeClr val="accent1"/>
            </a:solidFill>
            <a:ln w="25400">
              <a:noFill/>
            </a:ln>
            <a:effectLst/>
          </c:spPr>
          <c:cat>
            <c:strRef>
              <c:f>'Pivote Report'!$S$6:$S$37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Report'!$T$6:$T$37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A77F-4FA9-8399-3A970B809C22}"/>
            </c:ext>
          </c:extLst>
        </c:ser>
        <c:dLbls>
          <c:showLegendKey val="0"/>
          <c:showVal val="0"/>
          <c:showCatName val="0"/>
          <c:showSerName val="0"/>
          <c:showPercent val="0"/>
          <c:showBubbleSize val="0"/>
        </c:dLbls>
        <c:axId val="2049496560"/>
        <c:axId val="247598223"/>
      </c:areaChart>
      <c:catAx>
        <c:axId val="2049496560"/>
        <c:scaling>
          <c:orientation val="minMax"/>
        </c:scaling>
        <c:delete val="1"/>
        <c:axPos val="b"/>
        <c:numFmt formatCode="General" sourceLinked="1"/>
        <c:majorTickMark val="out"/>
        <c:minorTickMark val="none"/>
        <c:tickLblPos val="nextTo"/>
        <c:crossAx val="247598223"/>
        <c:crosses val="autoZero"/>
        <c:auto val="1"/>
        <c:lblAlgn val="ctr"/>
        <c:lblOffset val="100"/>
        <c:noMultiLvlLbl val="0"/>
      </c:catAx>
      <c:valAx>
        <c:axId val="247598223"/>
        <c:scaling>
          <c:orientation val="minMax"/>
        </c:scaling>
        <c:delete val="1"/>
        <c:axPos val="l"/>
        <c:numFmt formatCode="0.00" sourceLinked="1"/>
        <c:majorTickMark val="none"/>
        <c:minorTickMark val="none"/>
        <c:tickLblPos val="nextTo"/>
        <c:crossAx val="2049496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19072733824243E-3"/>
          <c:y val="3.7037037037037035E-2"/>
          <c:w val="0.99019184873148447"/>
          <c:h val="0.84204518188957489"/>
        </c:manualLayout>
      </c:layout>
      <c:barChart>
        <c:barDir val="col"/>
        <c:grouping val="clustered"/>
        <c:varyColors val="0"/>
        <c:ser>
          <c:idx val="0"/>
          <c:order val="0"/>
          <c:tx>
            <c:strRef>
              <c:f>'Pivote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Report'!$A$57:$A$65</c:f>
              <c:strCache>
                <c:ptCount val="8"/>
                <c:pt idx="0">
                  <c:v>0-09</c:v>
                </c:pt>
                <c:pt idx="1">
                  <c:v>10-19</c:v>
                </c:pt>
                <c:pt idx="2">
                  <c:v>20-29</c:v>
                </c:pt>
                <c:pt idx="3">
                  <c:v>30-39</c:v>
                </c:pt>
                <c:pt idx="4">
                  <c:v>40-49</c:v>
                </c:pt>
                <c:pt idx="5">
                  <c:v>50-59</c:v>
                </c:pt>
                <c:pt idx="6">
                  <c:v>60-99</c:v>
                </c:pt>
                <c:pt idx="7">
                  <c:v>70-79</c:v>
                </c:pt>
              </c:strCache>
            </c:strRef>
          </c:cat>
          <c:val>
            <c:numRef>
              <c:f>'Pivote Report'!$B$57:$B$65</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2A99-48E7-8FE4-1895D34A112A}"/>
            </c:ext>
          </c:extLst>
        </c:ser>
        <c:dLbls>
          <c:showLegendKey val="0"/>
          <c:showVal val="0"/>
          <c:showCatName val="0"/>
          <c:showSerName val="0"/>
          <c:showPercent val="0"/>
          <c:showBubbleSize val="0"/>
        </c:dLbls>
        <c:gapWidth val="219"/>
        <c:overlap val="-27"/>
        <c:axId val="2050823296"/>
        <c:axId val="592143311"/>
      </c:barChart>
      <c:catAx>
        <c:axId val="20508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92143311"/>
        <c:crosses val="autoZero"/>
        <c:auto val="1"/>
        <c:lblAlgn val="ctr"/>
        <c:lblOffset val="100"/>
        <c:noMultiLvlLbl val="0"/>
      </c:catAx>
      <c:valAx>
        <c:axId val="592143311"/>
        <c:scaling>
          <c:orientation val="minMax"/>
        </c:scaling>
        <c:delete val="1"/>
        <c:axPos val="l"/>
        <c:numFmt formatCode="0" sourceLinked="1"/>
        <c:majorTickMark val="none"/>
        <c:minorTickMark val="none"/>
        <c:tickLblPos val="nextTo"/>
        <c:crossAx val="205082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21333154267739"/>
          <c:y val="0.19178710875660973"/>
          <c:w val="0.7172529700048752"/>
          <c:h val="0.80771737212563566"/>
        </c:manualLayout>
      </c:layout>
      <c:pieChart>
        <c:varyColors val="1"/>
        <c:ser>
          <c:idx val="0"/>
          <c:order val="0"/>
          <c:tx>
            <c:strRef>
              <c:f>'Pivote Report'!$B$72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74AC-4B55-8374-45DB3D605CDD}"/>
              </c:ext>
            </c:extLst>
          </c:dPt>
          <c:dPt>
            <c:idx val="1"/>
            <c:bubble3D val="0"/>
            <c:spPr>
              <a:solidFill>
                <a:schemeClr val="accent2"/>
              </a:solidFill>
              <a:ln>
                <a:noFill/>
              </a:ln>
              <a:effectLst/>
            </c:spPr>
            <c:extLst>
              <c:ext xmlns:c16="http://schemas.microsoft.com/office/drawing/2014/chart" uri="{C3380CC4-5D6E-409C-BE32-E72D297353CC}">
                <c16:uniqueId val="{00000003-74AC-4B55-8374-45DB3D605C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 Report'!$A$73:$A$75</c:f>
              <c:strCache>
                <c:ptCount val="2"/>
                <c:pt idx="0">
                  <c:v>Delay</c:v>
                </c:pt>
                <c:pt idx="1">
                  <c:v>Ontime</c:v>
                </c:pt>
              </c:strCache>
            </c:strRef>
          </c:cat>
          <c:val>
            <c:numRef>
              <c:f>'Pivote Report'!$B$73:$B$75</c:f>
              <c:numCache>
                <c:formatCode>0</c:formatCode>
                <c:ptCount val="2"/>
                <c:pt idx="0">
                  <c:v>336</c:v>
                </c:pt>
                <c:pt idx="1">
                  <c:v>183</c:v>
                </c:pt>
              </c:numCache>
            </c:numRef>
          </c:val>
          <c:extLst>
            <c:ext xmlns:c16="http://schemas.microsoft.com/office/drawing/2014/chart" uri="{C3380CC4-5D6E-409C-BE32-E72D297353CC}">
              <c16:uniqueId val="{00000004-E51A-45E9-86EA-D945B5F08A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29712874717248"/>
          <c:y val="1.636903755555378E-2"/>
          <c:w val="0.55849679948801356"/>
          <c:h val="0.1524687626364285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Report!PivotTable12</c:name>
    <c:fmtId val="2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76410581906176"/>
          <c:y val="0.10962396247465306"/>
          <c:w val="0.64811522308454128"/>
          <c:h val="0.81272573077246768"/>
        </c:manualLayout>
      </c:layout>
      <c:doughnutChart>
        <c:varyColors val="1"/>
        <c:ser>
          <c:idx val="0"/>
          <c:order val="0"/>
          <c:tx>
            <c:strRef>
              <c:f>'Pivote Report'!$B$80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E97-4080-8A65-5D272309F372}"/>
              </c:ext>
            </c:extLst>
          </c:dPt>
          <c:dPt>
            <c:idx val="1"/>
            <c:bubble3D val="0"/>
            <c:spPr>
              <a:solidFill>
                <a:schemeClr val="accent2"/>
              </a:solidFill>
              <a:ln>
                <a:noFill/>
              </a:ln>
              <a:effectLst/>
            </c:spPr>
            <c:extLst>
              <c:ext xmlns:c16="http://schemas.microsoft.com/office/drawing/2014/chart" uri="{C3380CC4-5D6E-409C-BE32-E72D297353CC}">
                <c16:uniqueId val="{00000003-CE97-4080-8A65-5D272309F3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 Report'!$A$81:$A$83</c:f>
              <c:strCache>
                <c:ptCount val="2"/>
                <c:pt idx="0">
                  <c:v>Female</c:v>
                </c:pt>
                <c:pt idx="1">
                  <c:v>Male</c:v>
                </c:pt>
              </c:strCache>
            </c:strRef>
          </c:cat>
          <c:val>
            <c:numRef>
              <c:f>'Pivote Report'!$B$81:$B$83</c:f>
              <c:numCache>
                <c:formatCode>0</c:formatCode>
                <c:ptCount val="2"/>
                <c:pt idx="0">
                  <c:v>254</c:v>
                </c:pt>
                <c:pt idx="1">
                  <c:v>265</c:v>
                </c:pt>
              </c:numCache>
            </c:numRef>
          </c:val>
          <c:extLst>
            <c:ext xmlns:c16="http://schemas.microsoft.com/office/drawing/2014/chart" uri="{C3380CC4-5D6E-409C-BE32-E72D297353CC}">
              <c16:uniqueId val="{00000004-B82C-4FCE-B35C-B77CF8867A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5214376759524504"/>
          <c:y val="0"/>
          <c:w val="0.47795952566780175"/>
          <c:h val="0.1290114516974807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8003685371829"/>
          <c:y val="2.4691358024691357E-2"/>
          <c:w val="0.78266382218467745"/>
          <c:h val="0.93136871779916397"/>
        </c:manualLayout>
      </c:layout>
      <c:barChart>
        <c:barDir val="bar"/>
        <c:grouping val="clustered"/>
        <c:varyColors val="0"/>
        <c:ser>
          <c:idx val="0"/>
          <c:order val="0"/>
          <c:tx>
            <c:strRef>
              <c:f>'Pivote Report'!$B$89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Report'!$A$90:$A$98</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'Pivote Report'!$B$90:$B$98</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79FD-44DF-974D-2072D118432F}"/>
            </c:ext>
          </c:extLst>
        </c:ser>
        <c:dLbls>
          <c:showLegendKey val="0"/>
          <c:showVal val="0"/>
          <c:showCatName val="0"/>
          <c:showSerName val="0"/>
          <c:showPercent val="0"/>
          <c:showBubbleSize val="0"/>
        </c:dLbls>
        <c:gapWidth val="42"/>
        <c:axId val="1043024144"/>
        <c:axId val="592005551"/>
      </c:barChart>
      <c:catAx>
        <c:axId val="104302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92005551"/>
        <c:crosses val="autoZero"/>
        <c:auto val="1"/>
        <c:lblAlgn val="ctr"/>
        <c:lblOffset val="100"/>
        <c:noMultiLvlLbl val="0"/>
      </c:catAx>
      <c:valAx>
        <c:axId val="592005551"/>
        <c:scaling>
          <c:orientation val="minMax"/>
        </c:scaling>
        <c:delete val="1"/>
        <c:axPos val="b"/>
        <c:numFmt formatCode="0" sourceLinked="1"/>
        <c:majorTickMark val="none"/>
        <c:minorTickMark val="none"/>
        <c:tickLblPos val="nextTo"/>
        <c:crossAx val="10430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22522522522521E-2"/>
          <c:y val="7.0733863837312116E-2"/>
          <c:w val="0.95495495495495497"/>
          <c:h val="0.78579439837924769"/>
        </c:manualLayout>
      </c:layout>
      <c:areaChart>
        <c:grouping val="standard"/>
        <c:varyColors val="0"/>
        <c:ser>
          <c:idx val="0"/>
          <c:order val="0"/>
          <c:tx>
            <c:strRef>
              <c:f>'Pivote Report'!$O$5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Report'!$O$6:$O$37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9F73-4D6F-99EC-6A93A6898A6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50787568"/>
        <c:axId val="413738031"/>
      </c:areaChart>
      <c:catAx>
        <c:axId val="2050787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3738031"/>
        <c:crosses val="autoZero"/>
        <c:auto val="1"/>
        <c:lblAlgn val="ctr"/>
        <c:lblOffset val="100"/>
        <c:noMultiLvlLbl val="0"/>
      </c:catAx>
      <c:valAx>
        <c:axId val="413738031"/>
        <c:scaling>
          <c:orientation val="minMax"/>
        </c:scaling>
        <c:delete val="1"/>
        <c:axPos val="l"/>
        <c:numFmt formatCode="0.00" sourceLinked="1"/>
        <c:majorTickMark val="out"/>
        <c:minorTickMark val="none"/>
        <c:tickLblPos val="nextTo"/>
        <c:crossAx val="2050787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90510252742013E-2"/>
          <c:y val="6.2814070351758788E-2"/>
          <c:w val="0.94754411063423938"/>
          <c:h val="0.80358749126208473"/>
        </c:manualLayout>
      </c:layout>
      <c:areaChart>
        <c:grouping val="standard"/>
        <c:varyColors val="0"/>
        <c:ser>
          <c:idx val="0"/>
          <c:order val="0"/>
          <c:tx>
            <c:strRef>
              <c:f>'Pivote Report'!$F$5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Report'!$E$6:$E$37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Report'!$F$6:$F$37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715C-4A53-9093-0F066596F76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4284255"/>
        <c:axId val="940983759"/>
      </c:areaChart>
      <c:catAx>
        <c:axId val="5542842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0983759"/>
        <c:crosses val="autoZero"/>
        <c:auto val="1"/>
        <c:lblAlgn val="ctr"/>
        <c:lblOffset val="100"/>
        <c:noMultiLvlLbl val="0"/>
      </c:catAx>
      <c:valAx>
        <c:axId val="940983759"/>
        <c:scaling>
          <c:orientation val="minMax"/>
        </c:scaling>
        <c:delete val="1"/>
        <c:axPos val="l"/>
        <c:numFmt formatCode="General" sourceLinked="1"/>
        <c:majorTickMark val="out"/>
        <c:minorTickMark val="none"/>
        <c:tickLblPos val="nextTo"/>
        <c:crossAx val="554284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[dashboard.xlsx]Pivote Report!PivotTable7</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54728106169818E-2"/>
          <c:y val="6.9084628670120898E-2"/>
          <c:w val="0.93661070755240106"/>
          <c:h val="0.79462928209103401"/>
        </c:manualLayout>
      </c:layout>
      <c:areaChart>
        <c:grouping val="standard"/>
        <c:varyColors val="0"/>
        <c:ser>
          <c:idx val="0"/>
          <c:order val="0"/>
          <c:tx>
            <c:strRef>
              <c:f>'Pivote Report'!$T$5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Report'!$S$6:$S$37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Report'!$T$6:$T$37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D353-4FE5-B254-B21FEB3BB70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49695152"/>
        <c:axId val="247507983"/>
      </c:areaChart>
      <c:catAx>
        <c:axId val="20496951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7507983"/>
        <c:crosses val="autoZero"/>
        <c:auto val="1"/>
        <c:lblAlgn val="ctr"/>
        <c:lblOffset val="100"/>
        <c:noMultiLvlLbl val="0"/>
      </c:catAx>
      <c:valAx>
        <c:axId val="247507983"/>
        <c:scaling>
          <c:orientation val="minMax"/>
        </c:scaling>
        <c:delete val="1"/>
        <c:axPos val="l"/>
        <c:numFmt formatCode="0.00" sourceLinked="1"/>
        <c:majorTickMark val="out"/>
        <c:minorTickMark val="none"/>
        <c:tickLblPos val="nextTo"/>
        <c:crossAx val="2049695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 daily trends'!A1"/><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Daily no. of Patient'!A1"/><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hyperlink" Target="#'Satisfaction of Daily Trends'!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0</xdr:colOff>
      <xdr:row>48</xdr:row>
      <xdr:rowOff>17720</xdr:rowOff>
    </xdr:from>
    <xdr:to>
      <xdr:col>3</xdr:col>
      <xdr:colOff>1594884</xdr:colOff>
      <xdr:row>50</xdr:row>
      <xdr:rowOff>62024</xdr:rowOff>
    </xdr:to>
    <xdr:graphicFrame macro="">
      <xdr:nvGraphicFramePr>
        <xdr:cNvPr id="7" name="Chart 6">
          <a:extLst>
            <a:ext uri="{FF2B5EF4-FFF2-40B4-BE49-F238E27FC236}">
              <a16:creationId xmlns:a16="http://schemas.microsoft.com/office/drawing/2014/main" id="{6E790471-D42C-A4F4-FCDC-5B40ABAE5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35055</xdr:rowOff>
    </xdr:from>
    <xdr:to>
      <xdr:col>19</xdr:col>
      <xdr:colOff>510540</xdr:colOff>
      <xdr:row>26</xdr:row>
      <xdr:rowOff>137160</xdr:rowOff>
    </xdr:to>
    <xdr:grpSp>
      <xdr:nvGrpSpPr>
        <xdr:cNvPr id="63" name="Group 62">
          <a:extLst>
            <a:ext uri="{FF2B5EF4-FFF2-40B4-BE49-F238E27FC236}">
              <a16:creationId xmlns:a16="http://schemas.microsoft.com/office/drawing/2014/main" id="{082A037E-B538-A1DE-A075-EFF8DFC24EDB}"/>
            </a:ext>
          </a:extLst>
        </xdr:cNvPr>
        <xdr:cNvGrpSpPr/>
      </xdr:nvGrpSpPr>
      <xdr:grpSpPr>
        <a:xfrm>
          <a:off x="38100" y="35055"/>
          <a:ext cx="12054840" cy="4853399"/>
          <a:chOff x="38100" y="35055"/>
          <a:chExt cx="12054840" cy="4763752"/>
        </a:xfrm>
      </xdr:grpSpPr>
      <xdr:sp macro="" textlink="">
        <xdr:nvSpPr>
          <xdr:cNvPr id="2" name="Rectangle: Rounded Corners 1">
            <a:extLst>
              <a:ext uri="{FF2B5EF4-FFF2-40B4-BE49-F238E27FC236}">
                <a16:creationId xmlns:a16="http://schemas.microsoft.com/office/drawing/2014/main" id="{6A8FE847-7CC6-F250-1AA2-E23E2F195162}"/>
              </a:ext>
            </a:extLst>
          </xdr:cNvPr>
          <xdr:cNvSpPr/>
        </xdr:nvSpPr>
        <xdr:spPr>
          <a:xfrm>
            <a:off x="38100" y="38144"/>
            <a:ext cx="4737696" cy="4959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FDB1BF81-1364-6BFE-AC48-8350BD62A7DE}"/>
              </a:ext>
            </a:extLst>
          </xdr:cNvPr>
          <xdr:cNvSpPr/>
        </xdr:nvSpPr>
        <xdr:spPr>
          <a:xfrm>
            <a:off x="4811455" y="40687"/>
            <a:ext cx="1871068" cy="4959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6C807E4-7224-CC74-34CE-37A94C6A3F47}"/>
              </a:ext>
            </a:extLst>
          </xdr:cNvPr>
          <xdr:cNvSpPr/>
        </xdr:nvSpPr>
        <xdr:spPr>
          <a:xfrm>
            <a:off x="38100" y="555874"/>
            <a:ext cx="610954" cy="4242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7BFFA22F-606C-2B73-9C89-6923FCAEF079}"/>
              </a:ext>
            </a:extLst>
          </xdr:cNvPr>
          <xdr:cNvSpPr txBox="1"/>
        </xdr:nvSpPr>
        <xdr:spPr>
          <a:xfrm>
            <a:off x="913585" y="35055"/>
            <a:ext cx="3786707" cy="259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Hospital Emergency Room Dashboard</a:t>
            </a:r>
            <a:endParaRPr lang="en-IN" sz="1600">
              <a:effectLst/>
            </a:endParaRPr>
          </a:p>
          <a:p>
            <a:endParaRPr lang="en-IN" sz="1100"/>
          </a:p>
        </xdr:txBody>
      </xdr:sp>
      <xdr:pic>
        <xdr:nvPicPr>
          <xdr:cNvPr id="6" name="Picture 5">
            <a:extLst>
              <a:ext uri="{FF2B5EF4-FFF2-40B4-BE49-F238E27FC236}">
                <a16:creationId xmlns:a16="http://schemas.microsoft.com/office/drawing/2014/main" id="{F270BAC8-10E9-B825-6C1A-FF1FA71B7501}"/>
              </a:ext>
            </a:extLst>
          </xdr:cNvPr>
          <xdr:cNvPicPr>
            <a:picLocks noChangeAspect="1"/>
          </xdr:cNvPicPr>
        </xdr:nvPicPr>
        <xdr:blipFill rotWithShape="1">
          <a:blip xmlns:r="http://schemas.openxmlformats.org/officeDocument/2006/relationships" r:embed="rId1"/>
          <a:srcRect l="27587" t="10446" r="7758" b="-2477"/>
          <a:stretch>
            <a:fillRect/>
          </a:stretch>
        </xdr:blipFill>
        <xdr:spPr>
          <a:xfrm>
            <a:off x="154536" y="36326"/>
            <a:ext cx="764507" cy="500635"/>
          </a:xfrm>
          <a:prstGeom prst="rect">
            <a:avLst/>
          </a:prstGeom>
        </xdr:spPr>
      </xdr:pic>
      <xdr:sp macro="" textlink="">
        <xdr:nvSpPr>
          <xdr:cNvPr id="7" name="TextBox 6">
            <a:extLst>
              <a:ext uri="{FF2B5EF4-FFF2-40B4-BE49-F238E27FC236}">
                <a16:creationId xmlns:a16="http://schemas.microsoft.com/office/drawing/2014/main" id="{15174571-C8FF-45B1-E51B-0121F982A4A7}"/>
              </a:ext>
            </a:extLst>
          </xdr:cNvPr>
          <xdr:cNvSpPr txBox="1"/>
        </xdr:nvSpPr>
        <xdr:spPr>
          <a:xfrm>
            <a:off x="1906255" y="289255"/>
            <a:ext cx="1418761" cy="22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Monthly Report</a:t>
            </a:r>
            <a:endParaRPr lang="en-IN" sz="1400">
              <a:effectLst/>
            </a:endParaRPr>
          </a:p>
          <a:p>
            <a:endParaRPr lang="en-IN" sz="1100"/>
          </a:p>
        </xdr:txBody>
      </xdr:sp>
      <mc:AlternateContent xmlns:mc="http://schemas.openxmlformats.org/markup-compatibility/2006" xmlns:a14="http://schemas.microsoft.com/office/drawing/2010/main">
        <mc:Choice Requires="a14">
          <xdr:graphicFrame macro="">
            <xdr:nvGraphicFramePr>
              <xdr:cNvPr id="21" name="Date (Month) 1">
                <a:extLst>
                  <a:ext uri="{FF2B5EF4-FFF2-40B4-BE49-F238E27FC236}">
                    <a16:creationId xmlns:a16="http://schemas.microsoft.com/office/drawing/2014/main" id="{1DD6FE0E-5B47-42EE-BD5D-2329628EE4BF}"/>
                  </a:ext>
                </a:extLst>
              </xdr:cNvPr>
              <xdr:cNvGraphicFramePr/>
            </xdr:nvGraphicFramePr>
            <xdr:xfrm>
              <a:off x="62197" y="1052371"/>
              <a:ext cx="577883" cy="3567142"/>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2197" y="1090181"/>
                <a:ext cx="577883" cy="369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2" name="Picture 21" descr="Daily calendar with solid fill">
            <a:extLst>
              <a:ext uri="{FF2B5EF4-FFF2-40B4-BE49-F238E27FC236}">
                <a16:creationId xmlns:a16="http://schemas.microsoft.com/office/drawing/2014/main" id="{C5383132-B3FB-54D3-BA40-FBE78B415351}"/>
              </a:ext>
            </a:extLst>
          </xdr:cNvPr>
          <xdr:cNvPicPr>
            <a:picLocks noChangeAspect="1"/>
          </xdr:cNvPicPr>
        </xdr:nvPicPr>
        <xdr:blipFill>
          <a:blip xmlns:r="http://schemas.openxmlformats.org/officeDocument/2006/relationships" r:embed="rId2"/>
          <a:stretch>
            <a:fillRect/>
          </a:stretch>
        </xdr:blipFill>
        <xdr:spPr>
          <a:xfrm>
            <a:off x="43321" y="516209"/>
            <a:ext cx="604379" cy="590036"/>
          </a:xfrm>
          <a:prstGeom prst="rect">
            <a:avLst/>
          </a:prstGeom>
        </xdr:spPr>
      </xdr:pic>
      <xdr:sp macro="" textlink="">
        <xdr:nvSpPr>
          <xdr:cNvPr id="25" name="Rectangle 24">
            <a:extLst>
              <a:ext uri="{FF2B5EF4-FFF2-40B4-BE49-F238E27FC236}">
                <a16:creationId xmlns:a16="http://schemas.microsoft.com/office/drawing/2014/main" id="{A86D2A66-728E-A203-DFFE-CF62890EB38E}"/>
              </a:ext>
            </a:extLst>
          </xdr:cNvPr>
          <xdr:cNvSpPr/>
        </xdr:nvSpPr>
        <xdr:spPr>
          <a:xfrm>
            <a:off x="708660" y="560742"/>
            <a:ext cx="1950720" cy="18539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75A9D9C0-EF80-A7B2-355B-55A81EA6C0EC}"/>
              </a:ext>
            </a:extLst>
          </xdr:cNvPr>
          <xdr:cNvSpPr txBox="1"/>
        </xdr:nvSpPr>
        <xdr:spPr>
          <a:xfrm>
            <a:off x="1166044" y="1224406"/>
            <a:ext cx="1455236" cy="309007"/>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No. of Patient</a:t>
            </a:r>
            <a:endParaRPr lang="en-IN" sz="1600">
              <a:effectLst/>
            </a:endParaRPr>
          </a:p>
          <a:p>
            <a:endParaRPr lang="en-IN" sz="1600"/>
          </a:p>
        </xdr:txBody>
      </xdr:sp>
      <xdr:sp macro="" textlink="'Pivote Report'!A5">
        <xdr:nvSpPr>
          <xdr:cNvPr id="34" name="TextBox 33">
            <a:extLst>
              <a:ext uri="{FF2B5EF4-FFF2-40B4-BE49-F238E27FC236}">
                <a16:creationId xmlns:a16="http://schemas.microsoft.com/office/drawing/2014/main" id="{CD086450-A3EC-9AC1-2524-E3D91D192EA5}"/>
              </a:ext>
            </a:extLst>
          </xdr:cNvPr>
          <xdr:cNvSpPr txBox="1"/>
        </xdr:nvSpPr>
        <xdr:spPr>
          <a:xfrm>
            <a:off x="1368914" y="856236"/>
            <a:ext cx="838845" cy="36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2B8D3E52-480C-4A17-AD3A-8B0EC432DF51}" type="TxLink">
              <a:rPr lang="en-US" sz="2400" b="0" i="0" u="none" strike="noStrike">
                <a:solidFill>
                  <a:srgbClr val="000000"/>
                </a:solidFill>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519</a:t>
            </a:fld>
            <a:endParaRPr lang="en-IN" sz="2400">
              <a:solidFill>
                <a:schemeClr val="tx1"/>
              </a:solidFill>
            </a:endParaRPr>
          </a:p>
        </xdr:txBody>
      </xdr:sp>
      <xdr:pic>
        <xdr:nvPicPr>
          <xdr:cNvPr id="36" name="Picture 35" descr="User with solid fill">
            <a:extLst>
              <a:ext uri="{FF2B5EF4-FFF2-40B4-BE49-F238E27FC236}">
                <a16:creationId xmlns:a16="http://schemas.microsoft.com/office/drawing/2014/main" id="{0ABF3417-3AFA-3A7E-2572-B1750EF8166C}"/>
              </a:ext>
            </a:extLst>
          </xdr:cNvPr>
          <xdr:cNvPicPr>
            <a:picLocks noChangeAspect="1"/>
          </xdr:cNvPicPr>
        </xdr:nvPicPr>
        <xdr:blipFill>
          <a:blip xmlns:r="http://schemas.openxmlformats.org/officeDocument/2006/relationships" r:embed="rId3"/>
          <a:stretch>
            <a:fillRect/>
          </a:stretch>
        </xdr:blipFill>
        <xdr:spPr>
          <a:xfrm>
            <a:off x="2140438" y="735631"/>
            <a:ext cx="437054" cy="428316"/>
          </a:xfrm>
          <a:prstGeom prst="rect">
            <a:avLst/>
          </a:prstGeom>
        </xdr:spPr>
      </xdr:pic>
      <xdr:sp macro="" textlink="">
        <xdr:nvSpPr>
          <xdr:cNvPr id="37" name="Rectangle 36">
            <a:extLst>
              <a:ext uri="{FF2B5EF4-FFF2-40B4-BE49-F238E27FC236}">
                <a16:creationId xmlns:a16="http://schemas.microsoft.com/office/drawing/2014/main" id="{A1EFA816-4FA7-0F71-9191-91BE3AF1475C}"/>
              </a:ext>
            </a:extLst>
          </xdr:cNvPr>
          <xdr:cNvSpPr/>
        </xdr:nvSpPr>
        <xdr:spPr>
          <a:xfrm>
            <a:off x="2705100" y="568362"/>
            <a:ext cx="1950720" cy="18539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137B2EE3-ECF4-1954-762F-503F75A73DD5}"/>
              </a:ext>
            </a:extLst>
          </xdr:cNvPr>
          <xdr:cNvSpPr/>
        </xdr:nvSpPr>
        <xdr:spPr>
          <a:xfrm>
            <a:off x="4709160" y="568362"/>
            <a:ext cx="1950720" cy="18539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e Report'!A9">
        <xdr:nvSpPr>
          <xdr:cNvPr id="41" name="TextBox 40">
            <a:extLst>
              <a:ext uri="{FF2B5EF4-FFF2-40B4-BE49-F238E27FC236}">
                <a16:creationId xmlns:a16="http://schemas.microsoft.com/office/drawing/2014/main" id="{4972B8AB-0E38-6799-92BA-7F21CD4D73BF}"/>
              </a:ext>
            </a:extLst>
          </xdr:cNvPr>
          <xdr:cNvSpPr txBox="1"/>
        </xdr:nvSpPr>
        <xdr:spPr>
          <a:xfrm>
            <a:off x="3334325" y="840996"/>
            <a:ext cx="878218" cy="36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C6FA99BF-FD41-4333-8669-FBA71B17FF03}" type="TxLink">
              <a:rPr lang="en-US" sz="2400" b="0" i="0" u="none" strike="noStrike">
                <a:solidFill>
                  <a:srgbClr val="000000"/>
                </a:solidFill>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35.81</a:t>
            </a:fld>
            <a:endParaRPr lang="en-IN" sz="2400"/>
          </a:p>
        </xdr:txBody>
      </xdr:sp>
      <xdr:pic>
        <xdr:nvPicPr>
          <xdr:cNvPr id="42" name="Picture 41" descr="Hourglass Finished with solid fill">
            <a:extLst>
              <a:ext uri="{FF2B5EF4-FFF2-40B4-BE49-F238E27FC236}">
                <a16:creationId xmlns:a16="http://schemas.microsoft.com/office/drawing/2014/main" id="{12C7525C-8330-2108-EB2E-629B7DD401BF}"/>
              </a:ext>
            </a:extLst>
          </xdr:cNvPr>
          <xdr:cNvPicPr>
            <a:picLocks noChangeAspect="1"/>
          </xdr:cNvPicPr>
        </xdr:nvPicPr>
        <xdr:blipFill>
          <a:blip xmlns:r="http://schemas.openxmlformats.org/officeDocument/2006/relationships" r:embed="rId4"/>
          <a:stretch>
            <a:fillRect/>
          </a:stretch>
        </xdr:blipFill>
        <xdr:spPr>
          <a:xfrm>
            <a:off x="4113822" y="739724"/>
            <a:ext cx="412201" cy="411326"/>
          </a:xfrm>
          <a:prstGeom prst="rect">
            <a:avLst/>
          </a:prstGeom>
        </xdr:spPr>
      </xdr:pic>
      <xdr:sp macro="" textlink="">
        <xdr:nvSpPr>
          <xdr:cNvPr id="43" name="TextBox 42">
            <a:extLst>
              <a:ext uri="{FF2B5EF4-FFF2-40B4-BE49-F238E27FC236}">
                <a16:creationId xmlns:a16="http://schemas.microsoft.com/office/drawing/2014/main" id="{35D9C80A-640D-F1CE-7BFF-45440D85FBD0}"/>
              </a:ext>
            </a:extLst>
          </xdr:cNvPr>
          <xdr:cNvSpPr txBox="1"/>
        </xdr:nvSpPr>
        <xdr:spPr>
          <a:xfrm>
            <a:off x="3041843" y="1201546"/>
            <a:ext cx="1413868" cy="23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Average Wait </a:t>
            </a:r>
            <a:r>
              <a:rPr lang="en-IN" sz="1600" b="1">
                <a:solidFill>
                  <a:schemeClr val="dk1"/>
                </a:solidFill>
                <a:effectLst/>
                <a:latin typeface="+mn-lt"/>
                <a:ea typeface="+mn-ea"/>
                <a:cs typeface="+mn-cs"/>
              </a:rPr>
              <a:t>Time</a:t>
            </a:r>
            <a:endParaRPr lang="en-IN" sz="1600">
              <a:effectLst/>
            </a:endParaRPr>
          </a:p>
          <a:p>
            <a:endParaRPr lang="en-IN" sz="1100"/>
          </a:p>
        </xdr:txBody>
      </xdr:sp>
      <xdr:sp macro="" textlink="'Pivote Report'!A12">
        <xdr:nvSpPr>
          <xdr:cNvPr id="44" name="TextBox 43">
            <a:extLst>
              <a:ext uri="{FF2B5EF4-FFF2-40B4-BE49-F238E27FC236}">
                <a16:creationId xmlns:a16="http://schemas.microsoft.com/office/drawing/2014/main" id="{56171619-952A-C5A3-FACB-A3BD5E15EB55}"/>
              </a:ext>
            </a:extLst>
          </xdr:cNvPr>
          <xdr:cNvSpPr txBox="1"/>
        </xdr:nvSpPr>
        <xdr:spPr>
          <a:xfrm>
            <a:off x="5339374" y="862708"/>
            <a:ext cx="875559" cy="355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7FC1DE0F-326D-4464-8B47-3CA2F1BA1B20}" type="TxLink">
              <a:rPr lang="en-US" sz="2400" b="0" i="0" u="none" strike="noStrike">
                <a:solidFill>
                  <a:srgbClr val="000000"/>
                </a:solidFill>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5.15</a:t>
            </a:fld>
            <a:endParaRPr lang="en-IN" sz="2400"/>
          </a:p>
        </xdr:txBody>
      </xdr:sp>
      <xdr:sp macro="" textlink="">
        <xdr:nvSpPr>
          <xdr:cNvPr id="47" name="TextBox 46">
            <a:extLst>
              <a:ext uri="{FF2B5EF4-FFF2-40B4-BE49-F238E27FC236}">
                <a16:creationId xmlns:a16="http://schemas.microsoft.com/office/drawing/2014/main" id="{2267DA98-5660-4828-086C-C9F63826601A}"/>
              </a:ext>
            </a:extLst>
          </xdr:cNvPr>
          <xdr:cNvSpPr txBox="1"/>
        </xdr:nvSpPr>
        <xdr:spPr>
          <a:xfrm>
            <a:off x="4815841" y="1186487"/>
            <a:ext cx="2004060"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Patient </a:t>
            </a:r>
            <a:r>
              <a:rPr lang="en-IN" sz="1400" b="1">
                <a:solidFill>
                  <a:schemeClr val="dk1"/>
                </a:solidFill>
                <a:effectLst/>
                <a:latin typeface="+mn-lt"/>
                <a:ea typeface="+mn-ea"/>
                <a:cs typeface="+mn-cs"/>
              </a:rPr>
              <a:t>Satisfaction</a:t>
            </a:r>
            <a:r>
              <a:rPr lang="en-IN" sz="1200" b="1">
                <a:solidFill>
                  <a:schemeClr val="dk1"/>
                </a:solidFill>
                <a:effectLst/>
                <a:latin typeface="+mn-lt"/>
                <a:ea typeface="+mn-ea"/>
                <a:cs typeface="+mn-cs"/>
              </a:rPr>
              <a:t> Score</a:t>
            </a:r>
            <a:endParaRPr lang="en-IN" sz="1200">
              <a:effectLst/>
            </a:endParaRPr>
          </a:p>
          <a:p>
            <a:endParaRPr lang="en-IN" sz="1100"/>
          </a:p>
        </xdr:txBody>
      </xdr:sp>
      <xdr:pic>
        <xdr:nvPicPr>
          <xdr:cNvPr id="54" name="Picture 53" descr="Checklist with solid fill">
            <a:extLst>
              <a:ext uri="{FF2B5EF4-FFF2-40B4-BE49-F238E27FC236}">
                <a16:creationId xmlns:a16="http://schemas.microsoft.com/office/drawing/2014/main" id="{C3ACA555-AD93-6DB3-A69D-CA9A3EEF7F0C}"/>
              </a:ext>
            </a:extLst>
          </xdr:cNvPr>
          <xdr:cNvPicPr>
            <a:picLocks noChangeAspect="1"/>
          </xdr:cNvPicPr>
        </xdr:nvPicPr>
        <xdr:blipFill>
          <a:blip xmlns:r="http://schemas.openxmlformats.org/officeDocument/2006/relationships" r:embed="rId5"/>
          <a:stretch>
            <a:fillRect/>
          </a:stretch>
        </xdr:blipFill>
        <xdr:spPr>
          <a:xfrm>
            <a:off x="6133700" y="698634"/>
            <a:ext cx="491289" cy="489207"/>
          </a:xfrm>
          <a:prstGeom prst="rect">
            <a:avLst/>
          </a:prstGeom>
        </xdr:spPr>
      </xdr:pic>
      <xdr:graphicFrame macro="">
        <xdr:nvGraphicFramePr>
          <xdr:cNvPr id="55" name="Chart 54">
            <a:hlinkClick xmlns:r="http://schemas.openxmlformats.org/officeDocument/2006/relationships" r:id="rId6"/>
            <a:extLst>
              <a:ext uri="{FF2B5EF4-FFF2-40B4-BE49-F238E27FC236}">
                <a16:creationId xmlns:a16="http://schemas.microsoft.com/office/drawing/2014/main" id="{AE5A1AA4-0D06-4ECF-A9FA-1968C50D572A}"/>
              </a:ext>
            </a:extLst>
          </xdr:cNvPr>
          <xdr:cNvGraphicFramePr>
            <a:graphicFrameLocks/>
          </xdr:cNvGraphicFramePr>
        </xdr:nvGraphicFramePr>
        <xdr:xfrm>
          <a:off x="567558" y="1220545"/>
          <a:ext cx="2160402" cy="146886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6" name="Chart 55">
            <a:hlinkClick xmlns:r="http://schemas.openxmlformats.org/officeDocument/2006/relationships" r:id="rId8"/>
            <a:extLst>
              <a:ext uri="{FF2B5EF4-FFF2-40B4-BE49-F238E27FC236}">
                <a16:creationId xmlns:a16="http://schemas.microsoft.com/office/drawing/2014/main" id="{A8CDF55C-B856-4DBA-A1A1-2A4D939714F3}"/>
              </a:ext>
            </a:extLst>
          </xdr:cNvPr>
          <xdr:cNvGraphicFramePr>
            <a:graphicFrameLocks/>
          </xdr:cNvGraphicFramePr>
        </xdr:nvGraphicFramePr>
        <xdr:xfrm>
          <a:off x="2712720" y="1483661"/>
          <a:ext cx="1943100" cy="1064556"/>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7" name="Rectangle 56">
            <a:extLst>
              <a:ext uri="{FF2B5EF4-FFF2-40B4-BE49-F238E27FC236}">
                <a16:creationId xmlns:a16="http://schemas.microsoft.com/office/drawing/2014/main" id="{414D2726-6078-7686-9967-04E6974AA3C7}"/>
              </a:ext>
            </a:extLst>
          </xdr:cNvPr>
          <xdr:cNvSpPr/>
        </xdr:nvSpPr>
        <xdr:spPr>
          <a:xfrm>
            <a:off x="6713220" y="45720"/>
            <a:ext cx="2667000" cy="24146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58" name="Rectangle 57">
            <a:extLst>
              <a:ext uri="{FF2B5EF4-FFF2-40B4-BE49-F238E27FC236}">
                <a16:creationId xmlns:a16="http://schemas.microsoft.com/office/drawing/2014/main" id="{5CA7BE5D-FAFC-329C-C580-08087C7C53A8}"/>
              </a:ext>
            </a:extLst>
          </xdr:cNvPr>
          <xdr:cNvSpPr/>
        </xdr:nvSpPr>
        <xdr:spPr>
          <a:xfrm>
            <a:off x="9418320" y="45720"/>
            <a:ext cx="2667000" cy="24146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59" name="Rectangle 58">
            <a:extLst>
              <a:ext uri="{FF2B5EF4-FFF2-40B4-BE49-F238E27FC236}">
                <a16:creationId xmlns:a16="http://schemas.microsoft.com/office/drawing/2014/main" id="{6D128BF4-1974-F90B-1750-4619C627E4A1}"/>
              </a:ext>
            </a:extLst>
          </xdr:cNvPr>
          <xdr:cNvSpPr/>
        </xdr:nvSpPr>
        <xdr:spPr>
          <a:xfrm>
            <a:off x="6720840" y="2510118"/>
            <a:ext cx="5372100" cy="22734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60" name="Rectangle 59">
            <a:extLst>
              <a:ext uri="{FF2B5EF4-FFF2-40B4-BE49-F238E27FC236}">
                <a16:creationId xmlns:a16="http://schemas.microsoft.com/office/drawing/2014/main" id="{C0AAA668-74B5-2B96-803E-C402B3209709}"/>
              </a:ext>
            </a:extLst>
          </xdr:cNvPr>
          <xdr:cNvSpPr/>
        </xdr:nvSpPr>
        <xdr:spPr>
          <a:xfrm>
            <a:off x="716280" y="3227294"/>
            <a:ext cx="5958840" cy="1541033"/>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61" name="Rectangle 60">
            <a:extLst>
              <a:ext uri="{FF2B5EF4-FFF2-40B4-BE49-F238E27FC236}">
                <a16:creationId xmlns:a16="http://schemas.microsoft.com/office/drawing/2014/main" id="{0E86076F-299C-DFB6-AAF3-F5DAC1D8CB5D}"/>
              </a:ext>
            </a:extLst>
          </xdr:cNvPr>
          <xdr:cNvSpPr/>
        </xdr:nvSpPr>
        <xdr:spPr>
          <a:xfrm>
            <a:off x="708660" y="2460364"/>
            <a:ext cx="5966460" cy="72479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grpSp>
    <xdr:clientData/>
  </xdr:twoCellAnchor>
  <xdr:twoCellAnchor>
    <xdr:from>
      <xdr:col>7</xdr:col>
      <xdr:colOff>443049</xdr:colOff>
      <xdr:row>8</xdr:row>
      <xdr:rowOff>0</xdr:rowOff>
    </xdr:from>
    <xdr:to>
      <xdr:col>10</xdr:col>
      <xdr:colOff>560615</xdr:colOff>
      <xdr:row>13</xdr:row>
      <xdr:rowOff>141514</xdr:rowOff>
    </xdr:to>
    <xdr:graphicFrame macro="">
      <xdr:nvGraphicFramePr>
        <xdr:cNvPr id="64" name="Chart 63">
          <a:hlinkClick xmlns:r="http://schemas.openxmlformats.org/officeDocument/2006/relationships" r:id="rId10"/>
          <a:extLst>
            <a:ext uri="{FF2B5EF4-FFF2-40B4-BE49-F238E27FC236}">
              <a16:creationId xmlns:a16="http://schemas.microsoft.com/office/drawing/2014/main" id="{5FFF04FE-E1B9-45A8-95CD-4DF27F5D5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137807</xdr:colOff>
          <xdr:row>13</xdr:row>
          <xdr:rowOff>205669</xdr:rowOff>
        </xdr:from>
        <xdr:to>
          <xdr:col>10</xdr:col>
          <xdr:colOff>522514</xdr:colOff>
          <xdr:row>17</xdr:row>
          <xdr:rowOff>67385</xdr:rowOff>
        </xdr:to>
        <xdr:pic>
          <xdr:nvPicPr>
            <xdr:cNvPr id="67" name="Picture 66">
              <a:extLst>
                <a:ext uri="{FF2B5EF4-FFF2-40B4-BE49-F238E27FC236}">
                  <a16:creationId xmlns:a16="http://schemas.microsoft.com/office/drawing/2014/main" id="{A2BD4549-AE1A-6B0C-57EE-A0C17CD85753}"/>
                </a:ext>
              </a:extLst>
            </xdr:cNvPr>
            <xdr:cNvPicPr>
              <a:picLocks noChangeAspect="1" noChangeArrowheads="1"/>
              <a:extLst>
                <a:ext uri="{84589F7E-364E-4C9E-8A38-B11213B215E9}">
                  <a14:cameraTool cellRange="'Pivote Report'!$A$48:$D$50" spid="_x0000_s3116"/>
                </a:ext>
              </a:extLst>
            </xdr:cNvPicPr>
          </xdr:nvPicPr>
          <xdr:blipFill>
            <a:blip xmlns:r="http://schemas.openxmlformats.org/officeDocument/2006/relationships" r:embed="rId12"/>
            <a:srcRect/>
            <a:stretch>
              <a:fillRect/>
            </a:stretch>
          </xdr:blipFill>
          <xdr:spPr bwMode="auto">
            <a:xfrm>
              <a:off x="747407" y="2611412"/>
              <a:ext cx="5871107" cy="68903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175846</xdr:colOff>
      <xdr:row>18</xdr:row>
      <xdr:rowOff>68385</xdr:rowOff>
    </xdr:from>
    <xdr:to>
      <xdr:col>10</xdr:col>
      <xdr:colOff>449384</xdr:colOff>
      <xdr:row>25</xdr:row>
      <xdr:rowOff>97692</xdr:rowOff>
    </xdr:to>
    <xdr:graphicFrame macro="">
      <xdr:nvGraphicFramePr>
        <xdr:cNvPr id="68" name="Chart 67">
          <a:extLst>
            <a:ext uri="{FF2B5EF4-FFF2-40B4-BE49-F238E27FC236}">
              <a16:creationId xmlns:a16="http://schemas.microsoft.com/office/drawing/2014/main" id="{43D89F94-A5BC-4D68-A56B-679CEE65B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254001</xdr:colOff>
      <xdr:row>25</xdr:row>
      <xdr:rowOff>87923</xdr:rowOff>
    </xdr:from>
    <xdr:to>
      <xdr:col>8</xdr:col>
      <xdr:colOff>1</xdr:colOff>
      <xdr:row>27</xdr:row>
      <xdr:rowOff>173131</xdr:rowOff>
    </xdr:to>
    <xdr:sp macro="" textlink="">
      <xdr:nvSpPr>
        <xdr:cNvPr id="70" name="TextBox 69">
          <a:extLst>
            <a:ext uri="{FF2B5EF4-FFF2-40B4-BE49-F238E27FC236}">
              <a16:creationId xmlns:a16="http://schemas.microsoft.com/office/drawing/2014/main" id="{8E3956EC-F32D-44A2-8BDB-4B3E345A9494}"/>
            </a:ext>
          </a:extLst>
        </xdr:cNvPr>
        <xdr:cNvSpPr txBox="1"/>
      </xdr:nvSpPr>
      <xdr:spPr>
        <a:xfrm>
          <a:off x="2676770" y="4728308"/>
          <a:ext cx="2168769" cy="456438"/>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No. of Patient by Age group</a:t>
          </a:r>
          <a:endParaRPr lang="en-IN" sz="1200">
            <a:effectLst/>
          </a:endParaRPr>
        </a:p>
        <a:p>
          <a:endParaRPr lang="en-IN" sz="1200"/>
        </a:p>
      </xdr:txBody>
    </xdr:sp>
    <xdr:clientData/>
  </xdr:twoCellAnchor>
  <xdr:twoCellAnchor>
    <xdr:from>
      <xdr:col>11</xdr:col>
      <xdr:colOff>92437</xdr:colOff>
      <xdr:row>0</xdr:row>
      <xdr:rowOff>139800</xdr:rowOff>
    </xdr:from>
    <xdr:to>
      <xdr:col>15</xdr:col>
      <xdr:colOff>168166</xdr:colOff>
      <xdr:row>12</xdr:row>
      <xdr:rowOff>173421</xdr:rowOff>
    </xdr:to>
    <xdr:graphicFrame macro="">
      <xdr:nvGraphicFramePr>
        <xdr:cNvPr id="71" name="Chart 70">
          <a:extLst>
            <a:ext uri="{FF2B5EF4-FFF2-40B4-BE49-F238E27FC236}">
              <a16:creationId xmlns:a16="http://schemas.microsoft.com/office/drawing/2014/main" id="{8807E4D8-A976-4FDD-9ACD-0F458470E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585695</xdr:colOff>
      <xdr:row>12</xdr:row>
      <xdr:rowOff>177570</xdr:rowOff>
    </xdr:from>
    <xdr:to>
      <xdr:col>15</xdr:col>
      <xdr:colOff>331695</xdr:colOff>
      <xdr:row>14</xdr:row>
      <xdr:rowOff>173130</xdr:rowOff>
    </xdr:to>
    <xdr:sp macro="" textlink="">
      <xdr:nvSpPr>
        <xdr:cNvPr id="75" name="TextBox 74">
          <a:extLst>
            <a:ext uri="{FF2B5EF4-FFF2-40B4-BE49-F238E27FC236}">
              <a16:creationId xmlns:a16="http://schemas.microsoft.com/office/drawing/2014/main" id="{A41BB20E-9CA7-BAA8-41CD-C1B4D6A4DC5B}"/>
            </a:ext>
          </a:extLst>
        </xdr:cNvPr>
        <xdr:cNvSpPr txBox="1"/>
      </xdr:nvSpPr>
      <xdr:spPr>
        <a:xfrm>
          <a:off x="7291295" y="2329099"/>
          <a:ext cx="2184400" cy="443796"/>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Patient attended</a:t>
          </a:r>
          <a:r>
            <a:rPr lang="en-IN" sz="1200" b="1" baseline="0">
              <a:solidFill>
                <a:schemeClr val="dk1"/>
              </a:solidFill>
              <a:effectLst/>
              <a:latin typeface="+mn-lt"/>
              <a:ea typeface="+mn-ea"/>
              <a:cs typeface="+mn-cs"/>
            </a:rPr>
            <a:t> within Time</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a:endParaRPr lang="en-IN" sz="1200"/>
        </a:p>
      </xdr:txBody>
    </xdr:sp>
    <xdr:clientData/>
  </xdr:twoCellAnchor>
  <xdr:twoCellAnchor>
    <xdr:from>
      <xdr:col>15</xdr:col>
      <xdr:colOff>206189</xdr:colOff>
      <xdr:row>1</xdr:row>
      <xdr:rowOff>17931</xdr:rowOff>
    </xdr:from>
    <xdr:to>
      <xdr:col>19</xdr:col>
      <xdr:colOff>519953</xdr:colOff>
      <xdr:row>13</xdr:row>
      <xdr:rowOff>161365</xdr:rowOff>
    </xdr:to>
    <xdr:graphicFrame macro="">
      <xdr:nvGraphicFramePr>
        <xdr:cNvPr id="77" name="Chart 76">
          <a:extLst>
            <a:ext uri="{FF2B5EF4-FFF2-40B4-BE49-F238E27FC236}">
              <a16:creationId xmlns:a16="http://schemas.microsoft.com/office/drawing/2014/main" id="{319AC7CD-83FB-4AB4-90A9-E31A00C4F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227107</xdr:colOff>
      <xdr:row>12</xdr:row>
      <xdr:rowOff>132746</xdr:rowOff>
    </xdr:from>
    <xdr:to>
      <xdr:col>19</xdr:col>
      <xdr:colOff>582707</xdr:colOff>
      <xdr:row>14</xdr:row>
      <xdr:rowOff>128306</xdr:rowOff>
    </xdr:to>
    <xdr:sp macro="" textlink="">
      <xdr:nvSpPr>
        <xdr:cNvPr id="78" name="TextBox 77">
          <a:extLst>
            <a:ext uri="{FF2B5EF4-FFF2-40B4-BE49-F238E27FC236}">
              <a16:creationId xmlns:a16="http://schemas.microsoft.com/office/drawing/2014/main" id="{4413A494-04D5-16DE-5727-6AD23CA997A2}"/>
            </a:ext>
          </a:extLst>
        </xdr:cNvPr>
        <xdr:cNvSpPr txBox="1"/>
      </xdr:nvSpPr>
      <xdr:spPr>
        <a:xfrm>
          <a:off x="9980707" y="2284275"/>
          <a:ext cx="2184400" cy="443796"/>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baseline="0">
              <a:solidFill>
                <a:schemeClr val="dk1"/>
              </a:solidFill>
              <a:effectLst/>
              <a:latin typeface="+mn-lt"/>
              <a:ea typeface="+mn-ea"/>
              <a:cs typeface="+mn-cs"/>
            </a:rPr>
            <a:t>No. of Patients by Gender</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1">
            <a:effectLst/>
          </a:endParaRPr>
        </a:p>
        <a:p>
          <a:endParaRPr lang="en-IN" sz="1200" b="1"/>
        </a:p>
      </xdr:txBody>
    </xdr:sp>
    <xdr:clientData/>
  </xdr:twoCellAnchor>
  <xdr:twoCellAnchor>
    <xdr:from>
      <xdr:col>11</xdr:col>
      <xdr:colOff>32658</xdr:colOff>
      <xdr:row>13</xdr:row>
      <xdr:rowOff>239487</xdr:rowOff>
    </xdr:from>
    <xdr:to>
      <xdr:col>19</xdr:col>
      <xdr:colOff>326571</xdr:colOff>
      <xdr:row>24</xdr:row>
      <xdr:rowOff>174173</xdr:rowOff>
    </xdr:to>
    <xdr:graphicFrame macro="">
      <xdr:nvGraphicFramePr>
        <xdr:cNvPr id="79" name="Chart 78">
          <a:extLst>
            <a:ext uri="{FF2B5EF4-FFF2-40B4-BE49-F238E27FC236}">
              <a16:creationId xmlns:a16="http://schemas.microsoft.com/office/drawing/2014/main" id="{ECF33B77-430B-4DB7-84E7-95159CB3B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8751</xdr:colOff>
      <xdr:row>25</xdr:row>
      <xdr:rowOff>57828</xdr:rowOff>
    </xdr:from>
    <xdr:to>
      <xdr:col>17</xdr:col>
      <xdr:colOff>315686</xdr:colOff>
      <xdr:row>27</xdr:row>
      <xdr:rowOff>140473</xdr:rowOff>
    </xdr:to>
    <xdr:sp macro="" textlink="">
      <xdr:nvSpPr>
        <xdr:cNvPr id="80" name="TextBox 79">
          <a:extLst>
            <a:ext uri="{FF2B5EF4-FFF2-40B4-BE49-F238E27FC236}">
              <a16:creationId xmlns:a16="http://schemas.microsoft.com/office/drawing/2014/main" id="{9E5E8324-52F8-3CCC-600C-E8B1583C8408}"/>
            </a:ext>
          </a:extLst>
        </xdr:cNvPr>
        <xdr:cNvSpPr txBox="1"/>
      </xdr:nvSpPr>
      <xdr:spPr>
        <a:xfrm>
          <a:off x="7933551" y="4771342"/>
          <a:ext cx="2745335" cy="452760"/>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No.</a:t>
          </a:r>
          <a:r>
            <a:rPr lang="en-IN" sz="1400" b="1" baseline="0">
              <a:solidFill>
                <a:schemeClr val="dk1"/>
              </a:solidFill>
              <a:effectLst/>
              <a:latin typeface="+mn-lt"/>
              <a:ea typeface="+mn-ea"/>
              <a:cs typeface="+mn-cs"/>
            </a:rPr>
            <a:t> of </a:t>
          </a:r>
          <a:r>
            <a:rPr lang="en-IN" sz="1400" b="1">
              <a:solidFill>
                <a:schemeClr val="dk1"/>
              </a:solidFill>
              <a:effectLst/>
              <a:latin typeface="+mn-lt"/>
              <a:ea typeface="+mn-ea"/>
              <a:cs typeface="+mn-cs"/>
            </a:rPr>
            <a:t>Patient by  Department</a:t>
          </a:r>
          <a:r>
            <a:rPr lang="en-IN" sz="1400" b="1" baseline="0">
              <a:solidFill>
                <a:schemeClr val="dk1"/>
              </a:solidFill>
              <a:effectLst/>
              <a:latin typeface="+mn-lt"/>
              <a:ea typeface="+mn-ea"/>
              <a:cs typeface="+mn-cs"/>
            </a:rPr>
            <a:t> Referal</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a:endParaRPr lang="en-IN" sz="1200"/>
        </a:p>
      </xdr:txBody>
    </xdr:sp>
    <xdr:clientData/>
  </xdr:twoCellAnchor>
  <xdr:twoCellAnchor editAs="oneCell">
    <xdr:from>
      <xdr:col>8</xdr:col>
      <xdr:colOff>21772</xdr:colOff>
      <xdr:row>0</xdr:row>
      <xdr:rowOff>105103</xdr:rowOff>
    </xdr:from>
    <xdr:to>
      <xdr:col>10</xdr:col>
      <xdr:colOff>525517</xdr:colOff>
      <xdr:row>2</xdr:row>
      <xdr:rowOff>168167</xdr:rowOff>
    </xdr:to>
    <mc:AlternateContent xmlns:mc="http://schemas.openxmlformats.org/markup-compatibility/2006" xmlns:a14="http://schemas.microsoft.com/office/drawing/2010/main">
      <mc:Choice Requires="a14">
        <xdr:graphicFrame macro="">
          <xdr:nvGraphicFramePr>
            <xdr:cNvPr id="81" name="Date (Year)">
              <a:extLst>
                <a:ext uri="{FF2B5EF4-FFF2-40B4-BE49-F238E27FC236}">
                  <a16:creationId xmlns:a16="http://schemas.microsoft.com/office/drawing/2014/main" id="{963B9626-2BCC-4491-8E85-627E966FB95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98572" y="105103"/>
              <a:ext cx="1722945" cy="428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xdr:row>
      <xdr:rowOff>114300</xdr:rowOff>
    </xdr:from>
    <xdr:to>
      <xdr:col>13</xdr:col>
      <xdr:colOff>7620</xdr:colOff>
      <xdr:row>18</xdr:row>
      <xdr:rowOff>60960</xdr:rowOff>
    </xdr:to>
    <xdr:graphicFrame macro="">
      <xdr:nvGraphicFramePr>
        <xdr:cNvPr id="2" name="Chart 1">
          <a:extLst>
            <a:ext uri="{FF2B5EF4-FFF2-40B4-BE49-F238E27FC236}">
              <a16:creationId xmlns:a16="http://schemas.microsoft.com/office/drawing/2014/main" id="{9A0CD286-6C2B-4F34-9A5F-D0804E647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0.00819</cdr:x>
      <cdr:y>0.01768</cdr:y>
    </cdr:from>
    <cdr:to>
      <cdr:x>0.05979</cdr:x>
      <cdr:y>0.12909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92EAD6F-5139-DB3F-14FC-FD2B41C2EDB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20040" cy="3200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68580</xdr:colOff>
      <xdr:row>1</xdr:row>
      <xdr:rowOff>99060</xdr:rowOff>
    </xdr:from>
    <xdr:to>
      <xdr:col>10</xdr:col>
      <xdr:colOff>457200</xdr:colOff>
      <xdr:row>19</xdr:row>
      <xdr:rowOff>76200</xdr:rowOff>
    </xdr:to>
    <xdr:graphicFrame macro="">
      <xdr:nvGraphicFramePr>
        <xdr:cNvPr id="2" name="Chart 1">
          <a:extLst>
            <a:ext uri="{FF2B5EF4-FFF2-40B4-BE49-F238E27FC236}">
              <a16:creationId xmlns:a16="http://schemas.microsoft.com/office/drawing/2014/main" id="{4A4EAF30-C8E1-4193-8EC9-B8334BB41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0.00353</cdr:x>
      <cdr:y>0.00699</cdr:y>
    </cdr:from>
    <cdr:to>
      <cdr:x>0.05288</cdr:x>
      <cdr:y>0.1049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147299B-1085-F9E3-008C-04DE71A3B8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2860" y="22860"/>
          <a:ext cx="320040" cy="3200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243840</xdr:colOff>
      <xdr:row>1</xdr:row>
      <xdr:rowOff>160020</xdr:rowOff>
    </xdr:from>
    <xdr:to>
      <xdr:col>14</xdr:col>
      <xdr:colOff>365760</xdr:colOff>
      <xdr:row>17</xdr:row>
      <xdr:rowOff>175260</xdr:rowOff>
    </xdr:to>
    <xdr:graphicFrame macro="">
      <xdr:nvGraphicFramePr>
        <xdr:cNvPr id="4" name="Chart 3">
          <a:extLst>
            <a:ext uri="{FF2B5EF4-FFF2-40B4-BE49-F238E27FC236}">
              <a16:creationId xmlns:a16="http://schemas.microsoft.com/office/drawing/2014/main" id="{60204B95-FA7C-4605-BC7D-CB9420468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0.00587</cdr:x>
      <cdr:y>0.01727</cdr:y>
    </cdr:from>
    <cdr:to>
      <cdr:x>0.04284</cdr:x>
      <cdr:y>0.12608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E3682D4-EDCA-23FD-26DF-F7CFBE1D07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20040" cy="32004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6874997" backgroundQuery="1" createdVersion="8" refreshedVersion="8" minRefreshableVersion="3" recordCount="0" supportSubquery="1" supportAdvancedDrill="1" xr:uid="{034081F7-05D8-4ACB-8CD4-4AB7B9E60CD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7106482" backgroundQuery="1" createdVersion="8" refreshedVersion="8" minRefreshableVersion="3" recordCount="0" supportSubquery="1" supportAdvancedDrill="1" xr:uid="{CCF2826F-EAE2-4E94-8045-4947776AF7D8}">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7337966" backgroundQuery="1" createdVersion="8" refreshedVersion="8" minRefreshableVersion="3" recordCount="0" supportSubquery="1" supportAdvancedDrill="1" xr:uid="{BFB546E7-6A09-41AB-B943-456B980E792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7569444" backgroundQuery="1" createdVersion="8" refreshedVersion="8" minRefreshableVersion="3" recordCount="0" supportSubquery="1" supportAdvancedDrill="1" xr:uid="{41C5AFAD-9E4E-410B-9B34-F9509E317CC1}">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8148151" backgroundQuery="1" createdVersion="8" refreshedVersion="8" minRefreshableVersion="3" recordCount="0" supportSubquery="1" supportAdvancedDrill="1" xr:uid="{660FE973-A420-4ADE-8390-89840AF3755B}">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8726852" backgroundQuery="1" createdVersion="8" refreshedVersion="8" minRefreshableVersion="3" recordCount="0" supportSubquery="1" supportAdvancedDrill="1" xr:uid="{E46E3DE0-5704-4D65-A302-43770E850A15}">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9305553" backgroundQuery="1" createdVersion="8" refreshedVersion="8" minRefreshableVersion="3" recordCount="0" supportSubquery="1" supportAdvancedDrill="1" xr:uid="{95745A32-10E4-42D2-AA6A-D4A6EE8F6F27}">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399768522" backgroundQuery="1" createdVersion="8" refreshedVersion="8" minRefreshableVersion="3" recordCount="0" supportSubquery="1" supportAdvancedDrill="1" xr:uid="{7AB9E8F4-EB96-49B2-B0F5-C08FEA7645C9}">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400347222" backgroundQuery="1" createdVersion="8" refreshedVersion="8" minRefreshableVersion="3" recordCount="0" supportSubquery="1" supportAdvancedDrill="1" xr:uid="{171EF762-3D59-43A3-83CF-EB40E1C7079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9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400925923" backgroundQuery="1" createdVersion="8" refreshedVersion="8" minRefreshableVersion="3" recordCount="0" supportSubquery="1" supportAdvancedDrill="1" xr:uid="{27DDCDBF-4C7B-4A3B-B309-A864C541C13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e attende Status].[Patiente attende Status]" caption="Patiente attende Status" numFmtId="0" hierarchy="17" level="1">
      <sharedItems count="2">
        <s v="Delay"/>
        <s v="Ontime"/>
      </sharedItems>
    </cacheField>
    <cacheField name="[Measures].[Count of Patiente attende Status]" caption="Count of Patiente attende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401388892" backgroundQuery="1" createdVersion="8" refreshedVersion="8" minRefreshableVersion="3" recordCount="0" supportSubquery="1" supportAdvancedDrill="1" xr:uid="{DD815594-F33A-4DC2-BA68-CA4356A176D1}">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401967593" backgroundQuery="1" createdVersion="8" refreshedVersion="8" minRefreshableVersion="3" recordCount="0" supportSubquery="1" supportAdvancedDrill="1" xr:uid="{D718FB4B-86DB-4BB8-9DC3-90EEA83CD33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306.777402546293" backgroundQuery="1" createdVersion="8" refreshedVersion="8" minRefreshableVersion="3" recordCount="0" supportSubquery="1" supportAdvancedDrill="1" xr:uid="{75554CFD-A94B-4EC4-AB03-EC5A33BB6EB9}">
  <cacheSource type="external" connectionId="3"/>
  <cacheFields count="4">
    <cacheField name="[Calender_Table].[Date (Month)].[Date (Month)]" caption="Date (Month)" numFmtId="0" hierarchy="1" level="1">
      <sharedItems count="1">
        <s v="Nov"/>
      </sharedItems>
    </cacheField>
    <cacheField name="[Calende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251.662700578701" backgroundQuery="1" createdVersion="3" refreshedVersion="8" minRefreshableVersion="3" recordCount="0" supportSubquery="1" supportAdvancedDrill="1" xr:uid="{7E04F61E-8A69-4BF5-A378-E7A9CEE53285}">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5907449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 Patel" refreshedDate="46251.874452083335" backgroundQuery="1" createdVersion="3" refreshedVersion="8" minRefreshableVersion="3" recordCount="0" supportSubquery="1" supportAdvancedDrill="1" xr:uid="{EB4B2501-9165-48AF-A5D3-2DFA4E89D10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e attende Status]" caption="Patiente attende Status" attribute="1" defaultMemberUniqueName="[Hospital Emergency Room Data].[Patiente attende Status].[All]" allUniqueName="[Hospital Emergency Room Data].[Patiente attend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e attende Status]" caption="Count of Patiente attend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873807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F675D-FCDA-4739-A4B7-9E72B6F7ECE3}" name="PivotTable6" cacheId="5" applyNumberFormats="0" applyBorderFormats="0" applyFontFormats="0" applyPatternFormats="0" applyAlignmentFormats="0" applyWidthHeightFormats="1" dataCaption="Values" tag="577cb754-26f0-4d68-a712-09d8976017a4" updatedVersion="8" minRefreshableVersion="3" subtotalHiddenItems="1" itemPrintTitles="1" createdVersion="8" indent="0" outline="1" outlineData="1" multipleFieldFilters="0" chartFormat="8">
  <location ref="N5:O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4F81B-76D6-42F7-A6AA-67001EE16E2D}" name="PivotTable12" cacheId="10"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25">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008FA3-30BD-4871-9C55-7B840FA96862}" name="PivotTable4" cacheId="4" applyNumberFormats="0" applyBorderFormats="0" applyFontFormats="0" applyPatternFormats="0" applyAlignmentFormats="0" applyWidthHeightFormats="1" dataCaption="Values" tag="386eaf1b-4b7a-4f94-b153-7a4df71ab93e" updatedVersion="8" minRefreshableVersion="3" subtotalHiddenItems="1" itemPrintTitles="1" createdVersion="8" indent="0" outline="1" outlineData="1" multipleFieldFilters="0" chartFormat="18">
  <location ref="E5:F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5F61C0-FB64-4996-A6DB-9FA76E3CBF98}" name="PivotTable14" cacheId="12"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29">
  <location ref="A106:A10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BB4F9-31D5-4998-A293-6AD9EB905696}" name="PivotTable2" cacheId="3" applyNumberFormats="0" applyBorderFormats="0" applyFontFormats="0" applyPatternFormats="0" applyAlignmentFormats="0" applyWidthHeightFormats="1" dataCaption="Values" tag="7c91a35f-9f4c-42f0-b64f-e882f22461f2"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E0034C-4B39-40A6-893C-0666F0672498}" name="PivotTable1" cacheId="1" applyNumberFormats="0" applyBorderFormats="0" applyFontFormats="0" applyPatternFormats="0" applyAlignmentFormats="0" applyWidthHeightFormats="1" dataCaption="Values" tag="577cb754-26f0-4d68-a712-09d8976017a4"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3BFB6A-9272-4F20-BC39-A6EADBE3C860}" name="PivotTable9" cacheId="8"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12">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E5D877-4AA6-4AF1-A3A6-B2168CB6FA8E}" name="PivotTable7" cacheId="6" applyNumberFormats="0" applyBorderFormats="0" applyFontFormats="0" applyPatternFormats="0" applyAlignmentFormats="0" applyWidthHeightFormats="1" dataCaption="Values" tag="577cb754-26f0-4d68-a712-09d8976017a4" updatedVersion="8" minRefreshableVersion="3" subtotalHiddenItems="1" itemPrintTitles="1" createdVersion="8" indent="0" outline="1" outlineData="1" multipleFieldFilters="0" chartFormat="23">
  <location ref="S5:T37"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2">
    <chartFormat chart="14"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C2142F-2F34-49BF-BA41-62D335696CB3}" name="PivotTable8" cacheId="7"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7">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0">
      <pivotArea outline="0" collapsedLevelsAreSubtotals="1" fieldPosition="0"/>
    </format>
    <format dxfId="9">
      <pivotArea collapsedLevelsAreSubtotals="1" fieldPosition="0">
        <references count="1">
          <reference field="2" count="0"/>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4680BA-316A-4505-8E42-DC57F8D1F525}" name="PivotTable5" cacheId="0" applyNumberFormats="0" applyBorderFormats="0" applyFontFormats="0" applyPatternFormats="0" applyAlignmentFormats="0" applyWidthHeightFormats="1" dataCaption="Values" tag="577cb754-26f0-4d68-a712-09d8976017a4" updatedVersion="8" minRefreshableVersion="3" subtotalHiddenItems="1" itemPrintTitles="1" createdVersion="8" indent="0" outline="1" outlineData="1" multipleFieldFilters="0">
  <location ref="I5:J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78F802-F950-4725-A919-48BC73618B0C}" name="PivotTable10" cacheId="9"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19">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e attende Status" fld="2" subtotal="count" baseField="0"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E505FC-B17E-405E-9E0E-5C63838EBF0D}" name="PivotTable13" cacheId="11"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chartFormat="29">
  <location ref="A89:B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1">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97B25D-8223-49B1-8EB2-3E1CAD69F897}" name="PivotTable3" cacheId="2" applyNumberFormats="0" applyBorderFormats="0" applyFontFormats="0" applyPatternFormats="0" applyAlignmentFormats="0" applyWidthHeightFormats="1" dataCaption="Values" tag="4067117a-258c-474c-abcb-a9242f65eac6"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0F13AE29-22B0-437B-B068-402DFC834633}" sourceName="[Calender_Table].[Date (Month)]">
  <pivotTables>
    <pivotTable tabId="1" name="PivotTable5"/>
    <pivotTable tabId="1" name="PivotTable1"/>
    <pivotTable tabId="1" name="PivotTable3"/>
    <pivotTable tabId="1" name="PivotTable2"/>
    <pivotTable tabId="1" name="PivotTable4"/>
    <pivotTable tabId="1" name="PivotTable6"/>
    <pivotTable tabId="1" name="PivotTable7"/>
    <pivotTable tabId="1" name="PivotTable8"/>
    <pivotTable tabId="1" name="PivotTable9"/>
    <pivotTable tabId="1" name="PivotTable10"/>
    <pivotTable tabId="1" name="PivotTable12"/>
    <pivotTable tabId="1" name="PivotTable13"/>
    <pivotTable tabId="1" name="PivotTable14"/>
  </pivotTables>
  <data>
    <olap pivotCacheId="205907449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44EAE0F-7EBC-41B6-BCA1-D87733E60E27}" sourceName="[Calender_Table].[Date (Year)]">
  <pivotTables>
    <pivotTable tabId="1" name="PivotTable14"/>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8738071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7EB3C70-5630-4426-B4B3-04663EDA7129}" cache="Slicer_Date__Month1" caption="Date (Month)" showCaption="0" level="1" style="my style" rowHeight="247650"/>
  <slicer name="Date (Year)" xr10:uid="{C1C9731F-9F4C-4DBB-B7B3-18523C6660FF}"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6A0E-FCAF-438B-A045-400BCF81A4CE}">
  <dimension ref="A1:T108"/>
  <sheetViews>
    <sheetView zoomScale="86" zoomScaleNormal="86" workbookViewId="0">
      <selection activeCell="A106" sqref="A106"/>
    </sheetView>
  </sheetViews>
  <sheetFormatPr defaultRowHeight="14.4" x14ac:dyDescent="0.3"/>
  <cols>
    <col min="1" max="1" width="15.77734375" customWidth="1"/>
    <col min="2" max="2" width="16" customWidth="1"/>
    <col min="3" max="3" width="11" customWidth="1"/>
    <col min="4" max="4" width="23.5546875" customWidth="1"/>
    <col min="5" max="5" width="12.88671875" bestFit="1" customWidth="1"/>
    <col min="6" max="6" width="23.77734375" bestFit="1" customWidth="1"/>
    <col min="7" max="8" width="14.77734375" customWidth="1"/>
    <col min="9" max="10" width="23.77734375" bestFit="1" customWidth="1"/>
    <col min="14" max="14" width="15.88671875" bestFit="1" customWidth="1"/>
    <col min="15" max="15" width="23.77734375" bestFit="1" customWidth="1"/>
    <col min="19" max="19" width="23.77734375" bestFit="1" customWidth="1"/>
    <col min="20" max="20" width="24.6640625" bestFit="1" customWidth="1"/>
  </cols>
  <sheetData>
    <row r="1" spans="1:20" x14ac:dyDescent="0.3">
      <c r="A1" t="s">
        <v>0</v>
      </c>
    </row>
    <row r="3" spans="1:20" x14ac:dyDescent="0.3">
      <c r="A3" t="s">
        <v>2</v>
      </c>
    </row>
    <row r="4" spans="1:20" x14ac:dyDescent="0.3">
      <c r="A4" t="s">
        <v>1</v>
      </c>
      <c r="I4" t="s">
        <v>7</v>
      </c>
      <c r="N4" t="s">
        <v>8</v>
      </c>
      <c r="S4" t="s">
        <v>9</v>
      </c>
    </row>
    <row r="5" spans="1:20" x14ac:dyDescent="0.3">
      <c r="A5">
        <v>519</v>
      </c>
      <c r="E5" s="3" t="s">
        <v>6</v>
      </c>
      <c r="F5" t="s">
        <v>1</v>
      </c>
      <c r="I5" s="3" t="s">
        <v>6</v>
      </c>
      <c r="J5" t="s">
        <v>1</v>
      </c>
      <c r="N5" s="3" t="s">
        <v>6</v>
      </c>
      <c r="O5" t="s">
        <v>3</v>
      </c>
      <c r="S5" s="3" t="s">
        <v>6</v>
      </c>
      <c r="T5" t="s">
        <v>4</v>
      </c>
    </row>
    <row r="6" spans="1:20" x14ac:dyDescent="0.3">
      <c r="E6" s="4" t="s">
        <v>46</v>
      </c>
      <c r="F6">
        <v>14</v>
      </c>
      <c r="I6" s="4" t="s">
        <v>46</v>
      </c>
      <c r="J6">
        <v>14</v>
      </c>
      <c r="N6" s="4" t="s">
        <v>46</v>
      </c>
      <c r="O6" s="1">
        <v>35.642857142857146</v>
      </c>
      <c r="S6" s="4" t="s">
        <v>46</v>
      </c>
      <c r="T6" s="1">
        <v>7.4</v>
      </c>
    </row>
    <row r="7" spans="1:20" x14ac:dyDescent="0.3">
      <c r="E7" s="4" t="s">
        <v>47</v>
      </c>
      <c r="F7">
        <v>21</v>
      </c>
      <c r="I7" s="4" t="s">
        <v>47</v>
      </c>
      <c r="J7">
        <v>21</v>
      </c>
      <c r="N7" s="4" t="s">
        <v>47</v>
      </c>
      <c r="O7" s="1">
        <v>27</v>
      </c>
      <c r="S7" s="4" t="s">
        <v>47</v>
      </c>
      <c r="T7" s="1">
        <v>5.6</v>
      </c>
    </row>
    <row r="8" spans="1:20" x14ac:dyDescent="0.3">
      <c r="A8" t="s">
        <v>3</v>
      </c>
      <c r="E8" s="4" t="s">
        <v>48</v>
      </c>
      <c r="F8">
        <v>21</v>
      </c>
      <c r="I8" s="4" t="s">
        <v>48</v>
      </c>
      <c r="J8">
        <v>21</v>
      </c>
      <c r="N8" s="4" t="s">
        <v>48</v>
      </c>
      <c r="O8" s="1">
        <v>36.047619047619051</v>
      </c>
      <c r="S8" s="4" t="s">
        <v>48</v>
      </c>
      <c r="T8" s="1">
        <v>6.7142857142857144</v>
      </c>
    </row>
    <row r="9" spans="1:20" x14ac:dyDescent="0.3">
      <c r="A9" s="1">
        <v>35.809248554913296</v>
      </c>
      <c r="E9" s="4" t="s">
        <v>49</v>
      </c>
      <c r="F9">
        <v>15</v>
      </c>
      <c r="I9" s="4" t="s">
        <v>49</v>
      </c>
      <c r="J9">
        <v>15</v>
      </c>
      <c r="N9" s="4" t="s">
        <v>49</v>
      </c>
      <c r="O9" s="1">
        <v>38.866666666666667</v>
      </c>
      <c r="S9" s="4" t="s">
        <v>49</v>
      </c>
      <c r="T9" s="1">
        <v>6</v>
      </c>
    </row>
    <row r="10" spans="1:20" x14ac:dyDescent="0.3">
      <c r="E10" s="4" t="s">
        <v>50</v>
      </c>
      <c r="F10">
        <v>11</v>
      </c>
      <c r="I10" s="4" t="s">
        <v>50</v>
      </c>
      <c r="J10">
        <v>11</v>
      </c>
      <c r="N10" s="4" t="s">
        <v>50</v>
      </c>
      <c r="O10" s="1">
        <v>35.909090909090907</v>
      </c>
      <c r="S10" s="4" t="s">
        <v>50</v>
      </c>
      <c r="T10" s="1">
        <v>4</v>
      </c>
    </row>
    <row r="11" spans="1:20" x14ac:dyDescent="0.3">
      <c r="A11" t="s">
        <v>4</v>
      </c>
      <c r="E11" s="4" t="s">
        <v>51</v>
      </c>
      <c r="F11">
        <v>17</v>
      </c>
      <c r="I11" s="4" t="s">
        <v>51</v>
      </c>
      <c r="J11">
        <v>17</v>
      </c>
      <c r="N11" s="4" t="s">
        <v>51</v>
      </c>
      <c r="O11" s="1">
        <v>38.470588235294116</v>
      </c>
      <c r="S11" s="4" t="s">
        <v>51</v>
      </c>
      <c r="T11" s="1">
        <v>4.7142857142857144</v>
      </c>
    </row>
    <row r="12" spans="1:20" x14ac:dyDescent="0.3">
      <c r="A12" s="1">
        <v>5.1455696202531644</v>
      </c>
      <c r="E12" s="4" t="s">
        <v>52</v>
      </c>
      <c r="F12">
        <v>15</v>
      </c>
      <c r="I12" s="4" t="s">
        <v>52</v>
      </c>
      <c r="J12">
        <v>15</v>
      </c>
      <c r="N12" s="4" t="s">
        <v>52</v>
      </c>
      <c r="O12" s="1">
        <v>36.733333333333334</v>
      </c>
      <c r="S12" s="4" t="s">
        <v>52</v>
      </c>
      <c r="T12" s="1">
        <v>1.8</v>
      </c>
    </row>
    <row r="13" spans="1:20" x14ac:dyDescent="0.3">
      <c r="E13" s="4" t="s">
        <v>53</v>
      </c>
      <c r="F13">
        <v>17</v>
      </c>
      <c r="I13" s="4" t="s">
        <v>53</v>
      </c>
      <c r="J13">
        <v>17</v>
      </c>
      <c r="N13" s="4" t="s">
        <v>53</v>
      </c>
      <c r="O13" s="1">
        <v>34.588235294117645</v>
      </c>
      <c r="S13" s="4" t="s">
        <v>53</v>
      </c>
      <c r="T13" s="1">
        <v>4.833333333333333</v>
      </c>
    </row>
    <row r="14" spans="1:20" x14ac:dyDescent="0.3">
      <c r="E14" s="4" t="s">
        <v>54</v>
      </c>
      <c r="F14">
        <v>13</v>
      </c>
      <c r="I14" s="4" t="s">
        <v>54</v>
      </c>
      <c r="J14">
        <v>13</v>
      </c>
      <c r="N14" s="4" t="s">
        <v>54</v>
      </c>
      <c r="O14" s="1">
        <v>37.53846153846154</v>
      </c>
      <c r="S14" s="4" t="s">
        <v>54</v>
      </c>
      <c r="T14" s="1">
        <v>4.25</v>
      </c>
    </row>
    <row r="15" spans="1:20" x14ac:dyDescent="0.3">
      <c r="E15" s="4" t="s">
        <v>55</v>
      </c>
      <c r="F15">
        <v>24</v>
      </c>
      <c r="I15" s="4" t="s">
        <v>55</v>
      </c>
      <c r="J15">
        <v>24</v>
      </c>
      <c r="N15" s="4" t="s">
        <v>55</v>
      </c>
      <c r="O15" s="1">
        <v>31.708333333333332</v>
      </c>
      <c r="S15" s="4" t="s">
        <v>55</v>
      </c>
      <c r="T15" s="1">
        <v>4.5999999999999996</v>
      </c>
    </row>
    <row r="16" spans="1:20" x14ac:dyDescent="0.3">
      <c r="E16" s="4" t="s">
        <v>56</v>
      </c>
      <c r="F16">
        <v>13</v>
      </c>
      <c r="I16" s="4" t="s">
        <v>56</v>
      </c>
      <c r="J16">
        <v>13</v>
      </c>
      <c r="N16" s="4" t="s">
        <v>56</v>
      </c>
      <c r="O16" s="1">
        <v>28.923076923076923</v>
      </c>
      <c r="S16" s="4" t="s">
        <v>56</v>
      </c>
      <c r="T16" s="1">
        <v>6.5</v>
      </c>
    </row>
    <row r="17" spans="5:20" x14ac:dyDescent="0.3">
      <c r="E17" s="4" t="s">
        <v>57</v>
      </c>
      <c r="F17">
        <v>14</v>
      </c>
      <c r="I17" s="4" t="s">
        <v>57</v>
      </c>
      <c r="J17">
        <v>14</v>
      </c>
      <c r="N17" s="4" t="s">
        <v>57</v>
      </c>
      <c r="O17" s="1">
        <v>42.071428571428569</v>
      </c>
      <c r="S17" s="4" t="s">
        <v>57</v>
      </c>
      <c r="T17" s="1">
        <v>5</v>
      </c>
    </row>
    <row r="18" spans="5:20" x14ac:dyDescent="0.3">
      <c r="E18" s="4" t="s">
        <v>58</v>
      </c>
      <c r="F18">
        <v>12</v>
      </c>
      <c r="I18" s="4" t="s">
        <v>58</v>
      </c>
      <c r="J18">
        <v>12</v>
      </c>
      <c r="N18" s="4" t="s">
        <v>58</v>
      </c>
      <c r="O18" s="1">
        <v>35.833333333333336</v>
      </c>
      <c r="S18" s="4" t="s">
        <v>58</v>
      </c>
      <c r="T18" s="1">
        <v>6</v>
      </c>
    </row>
    <row r="19" spans="5:20" x14ac:dyDescent="0.3">
      <c r="E19" s="4" t="s">
        <v>59</v>
      </c>
      <c r="F19">
        <v>11</v>
      </c>
      <c r="I19" s="4" t="s">
        <v>59</v>
      </c>
      <c r="J19">
        <v>11</v>
      </c>
      <c r="N19" s="4" t="s">
        <v>59</v>
      </c>
      <c r="O19" s="1">
        <v>28.727272727272727</v>
      </c>
      <c r="S19" s="4" t="s">
        <v>59</v>
      </c>
      <c r="T19" s="1">
        <v>4.7142857142857144</v>
      </c>
    </row>
    <row r="20" spans="5:20" x14ac:dyDescent="0.3">
      <c r="E20" s="4" t="s">
        <v>60</v>
      </c>
      <c r="F20">
        <v>16</v>
      </c>
      <c r="I20" s="4" t="s">
        <v>60</v>
      </c>
      <c r="J20">
        <v>16</v>
      </c>
      <c r="N20" s="4" t="s">
        <v>60</v>
      </c>
      <c r="O20" s="1">
        <v>35.75</v>
      </c>
      <c r="S20" s="4" t="s">
        <v>60</v>
      </c>
      <c r="T20" s="1">
        <v>4.2</v>
      </c>
    </row>
    <row r="21" spans="5:20" x14ac:dyDescent="0.3">
      <c r="E21" s="4" t="s">
        <v>61</v>
      </c>
      <c r="F21">
        <v>20</v>
      </c>
      <c r="I21" s="4" t="s">
        <v>61</v>
      </c>
      <c r="J21">
        <v>20</v>
      </c>
      <c r="N21" s="4" t="s">
        <v>61</v>
      </c>
      <c r="O21" s="1">
        <v>34.75</v>
      </c>
      <c r="S21" s="4" t="s">
        <v>61</v>
      </c>
      <c r="T21" s="1">
        <v>7.2</v>
      </c>
    </row>
    <row r="22" spans="5:20" x14ac:dyDescent="0.3">
      <c r="E22" s="4" t="s">
        <v>62</v>
      </c>
      <c r="F22">
        <v>15</v>
      </c>
      <c r="I22" s="4" t="s">
        <v>62</v>
      </c>
      <c r="J22">
        <v>15</v>
      </c>
      <c r="N22" s="4" t="s">
        <v>62</v>
      </c>
      <c r="O22" s="1">
        <v>37.666666666666664</v>
      </c>
      <c r="S22" s="4" t="s">
        <v>62</v>
      </c>
      <c r="T22" s="1">
        <v>4.333333333333333</v>
      </c>
    </row>
    <row r="23" spans="5:20" x14ac:dyDescent="0.3">
      <c r="E23" s="4" t="s">
        <v>63</v>
      </c>
      <c r="F23">
        <v>19</v>
      </c>
      <c r="I23" s="4" t="s">
        <v>63</v>
      </c>
      <c r="J23">
        <v>19</v>
      </c>
      <c r="N23" s="4" t="s">
        <v>63</v>
      </c>
      <c r="O23" s="1">
        <v>40.421052631578945</v>
      </c>
      <c r="S23" s="4" t="s">
        <v>63</v>
      </c>
      <c r="T23" s="1">
        <v>3.7777777777777777</v>
      </c>
    </row>
    <row r="24" spans="5:20" x14ac:dyDescent="0.3">
      <c r="E24" s="4" t="s">
        <v>64</v>
      </c>
      <c r="F24">
        <v>16</v>
      </c>
      <c r="I24" s="4" t="s">
        <v>64</v>
      </c>
      <c r="J24">
        <v>16</v>
      </c>
      <c r="N24" s="4" t="s">
        <v>64</v>
      </c>
      <c r="O24" s="1">
        <v>33.75</v>
      </c>
      <c r="S24" s="4" t="s">
        <v>64</v>
      </c>
      <c r="T24" s="1">
        <v>3.6666666666666665</v>
      </c>
    </row>
    <row r="25" spans="5:20" x14ac:dyDescent="0.3">
      <c r="E25" s="4" t="s">
        <v>65</v>
      </c>
      <c r="F25">
        <v>17</v>
      </c>
      <c r="I25" s="4" t="s">
        <v>65</v>
      </c>
      <c r="J25">
        <v>17</v>
      </c>
      <c r="N25" s="4" t="s">
        <v>65</v>
      </c>
      <c r="O25" s="1">
        <v>32.764705882352942</v>
      </c>
      <c r="S25" s="4" t="s">
        <v>65</v>
      </c>
      <c r="T25" s="1">
        <v>4</v>
      </c>
    </row>
    <row r="26" spans="5:20" x14ac:dyDescent="0.3">
      <c r="E26" s="4" t="s">
        <v>66</v>
      </c>
      <c r="F26">
        <v>28</v>
      </c>
      <c r="I26" s="4" t="s">
        <v>66</v>
      </c>
      <c r="J26">
        <v>28</v>
      </c>
      <c r="N26" s="4" t="s">
        <v>66</v>
      </c>
      <c r="O26" s="1">
        <v>37.357142857142854</v>
      </c>
      <c r="S26" s="4" t="s">
        <v>66</v>
      </c>
      <c r="T26" s="1">
        <v>5.833333333333333</v>
      </c>
    </row>
    <row r="27" spans="5:20" x14ac:dyDescent="0.3">
      <c r="E27" s="4" t="s">
        <v>67</v>
      </c>
      <c r="F27">
        <v>22</v>
      </c>
      <c r="I27" s="4" t="s">
        <v>67</v>
      </c>
      <c r="J27">
        <v>22</v>
      </c>
      <c r="N27" s="4" t="s">
        <v>67</v>
      </c>
      <c r="O27" s="1">
        <v>37.227272727272727</v>
      </c>
      <c r="S27" s="4" t="s">
        <v>67</v>
      </c>
      <c r="T27" s="1">
        <v>5.666666666666667</v>
      </c>
    </row>
    <row r="28" spans="5:20" x14ac:dyDescent="0.3">
      <c r="E28" s="4" t="s">
        <v>68</v>
      </c>
      <c r="F28">
        <v>20</v>
      </c>
      <c r="I28" s="4" t="s">
        <v>68</v>
      </c>
      <c r="J28">
        <v>20</v>
      </c>
      <c r="N28" s="4" t="s">
        <v>68</v>
      </c>
      <c r="O28" s="1">
        <v>36.700000000000003</v>
      </c>
      <c r="S28" s="4" t="s">
        <v>68</v>
      </c>
      <c r="T28" s="1">
        <v>5.5</v>
      </c>
    </row>
    <row r="29" spans="5:20" x14ac:dyDescent="0.3">
      <c r="E29" s="4" t="s">
        <v>69</v>
      </c>
      <c r="F29">
        <v>17</v>
      </c>
      <c r="I29" s="4" t="s">
        <v>69</v>
      </c>
      <c r="J29">
        <v>17</v>
      </c>
      <c r="N29" s="4" t="s">
        <v>69</v>
      </c>
      <c r="O29" s="1">
        <v>43.058823529411768</v>
      </c>
      <c r="S29" s="4" t="s">
        <v>69</v>
      </c>
      <c r="T29" s="1">
        <v>5.5</v>
      </c>
    </row>
    <row r="30" spans="5:20" x14ac:dyDescent="0.3">
      <c r="E30" s="4" t="s">
        <v>70</v>
      </c>
      <c r="F30">
        <v>18</v>
      </c>
      <c r="I30" s="4" t="s">
        <v>70</v>
      </c>
      <c r="J30">
        <v>18</v>
      </c>
      <c r="N30" s="4" t="s">
        <v>70</v>
      </c>
      <c r="O30" s="1">
        <v>39.777777777777779</v>
      </c>
      <c r="S30" s="4" t="s">
        <v>70</v>
      </c>
      <c r="T30" s="1">
        <v>7</v>
      </c>
    </row>
    <row r="31" spans="5:20" x14ac:dyDescent="0.3">
      <c r="E31" s="4" t="s">
        <v>71</v>
      </c>
      <c r="F31">
        <v>13</v>
      </c>
      <c r="I31" s="4" t="s">
        <v>71</v>
      </c>
      <c r="J31">
        <v>13</v>
      </c>
      <c r="N31" s="4" t="s">
        <v>71</v>
      </c>
      <c r="O31" s="1">
        <v>40.692307692307693</v>
      </c>
      <c r="S31" s="4" t="s">
        <v>71</v>
      </c>
      <c r="T31" s="1">
        <v>7</v>
      </c>
    </row>
    <row r="32" spans="5:20" x14ac:dyDescent="0.3">
      <c r="E32" s="4" t="s">
        <v>72</v>
      </c>
      <c r="F32">
        <v>13</v>
      </c>
      <c r="I32" s="4" t="s">
        <v>72</v>
      </c>
      <c r="J32">
        <v>13</v>
      </c>
      <c r="N32" s="4" t="s">
        <v>72</v>
      </c>
      <c r="O32" s="1">
        <v>34.46153846153846</v>
      </c>
      <c r="S32" s="4" t="s">
        <v>72</v>
      </c>
      <c r="T32" s="1">
        <v>4</v>
      </c>
    </row>
    <row r="33" spans="1:20" x14ac:dyDescent="0.3">
      <c r="E33" s="4" t="s">
        <v>73</v>
      </c>
      <c r="F33">
        <v>13</v>
      </c>
      <c r="I33" s="4" t="s">
        <v>73</v>
      </c>
      <c r="J33">
        <v>13</v>
      </c>
      <c r="N33" s="4" t="s">
        <v>73</v>
      </c>
      <c r="O33" s="1">
        <v>30.307692307692307</v>
      </c>
      <c r="S33" s="4" t="s">
        <v>73</v>
      </c>
      <c r="T33" s="1">
        <v>4.4444444444444446</v>
      </c>
    </row>
    <row r="34" spans="1:20" x14ac:dyDescent="0.3">
      <c r="E34" s="4" t="s">
        <v>74</v>
      </c>
      <c r="F34">
        <v>20</v>
      </c>
      <c r="I34" s="4" t="s">
        <v>74</v>
      </c>
      <c r="J34">
        <v>20</v>
      </c>
      <c r="N34" s="4" t="s">
        <v>74</v>
      </c>
      <c r="O34" s="1">
        <v>38.5</v>
      </c>
      <c r="S34" s="4" t="s">
        <v>74</v>
      </c>
      <c r="T34" s="1">
        <v>4.8571428571428568</v>
      </c>
    </row>
    <row r="35" spans="1:20" x14ac:dyDescent="0.3">
      <c r="E35" s="4" t="s">
        <v>75</v>
      </c>
      <c r="F35">
        <v>15</v>
      </c>
      <c r="I35" s="4" t="s">
        <v>75</v>
      </c>
      <c r="J35">
        <v>15</v>
      </c>
      <c r="N35" s="4" t="s">
        <v>75</v>
      </c>
      <c r="O35" s="1">
        <v>35.333333333333336</v>
      </c>
      <c r="S35" s="4" t="s">
        <v>75</v>
      </c>
      <c r="T35" s="1">
        <v>5.5714285714285712</v>
      </c>
    </row>
    <row r="36" spans="1:20" x14ac:dyDescent="0.3">
      <c r="E36" s="4" t="s">
        <v>76</v>
      </c>
      <c r="F36">
        <v>19</v>
      </c>
      <c r="I36" s="4" t="s">
        <v>76</v>
      </c>
      <c r="J36">
        <v>19</v>
      </c>
      <c r="N36" s="4" t="s">
        <v>76</v>
      </c>
      <c r="O36" s="1">
        <v>32.421052631578945</v>
      </c>
      <c r="S36" s="4" t="s">
        <v>76</v>
      </c>
      <c r="T36" s="1">
        <v>6</v>
      </c>
    </row>
    <row r="37" spans="1:20" x14ac:dyDescent="0.3">
      <c r="E37" s="4" t="s">
        <v>5</v>
      </c>
      <c r="F37">
        <v>519</v>
      </c>
      <c r="I37" s="4" t="s">
        <v>5</v>
      </c>
      <c r="J37">
        <v>519</v>
      </c>
      <c r="N37" s="4" t="s">
        <v>5</v>
      </c>
      <c r="O37" s="1">
        <v>35.809248554913296</v>
      </c>
      <c r="S37" s="4" t="s">
        <v>5</v>
      </c>
      <c r="T37" s="1">
        <v>5.1455696202531644</v>
      </c>
    </row>
    <row r="40" spans="1:20" x14ac:dyDescent="0.3">
      <c r="A40" s="3" t="s">
        <v>6</v>
      </c>
      <c r="B40" t="s">
        <v>11</v>
      </c>
      <c r="C40" t="s">
        <v>14</v>
      </c>
    </row>
    <row r="41" spans="1:20" x14ac:dyDescent="0.3">
      <c r="A41" s="4" t="s">
        <v>12</v>
      </c>
      <c r="B41" s="6">
        <v>266</v>
      </c>
      <c r="C41" s="7">
        <v>0.51252408477842004</v>
      </c>
    </row>
    <row r="42" spans="1:20" x14ac:dyDescent="0.3">
      <c r="A42" s="4" t="s">
        <v>13</v>
      </c>
      <c r="B42" s="6">
        <v>253</v>
      </c>
      <c r="C42" s="7">
        <v>0.48747591522157996</v>
      </c>
    </row>
    <row r="43" spans="1:20" x14ac:dyDescent="0.3">
      <c r="A43" s="4" t="s">
        <v>5</v>
      </c>
      <c r="B43" s="1">
        <v>519</v>
      </c>
      <c r="C43" s="7">
        <v>1</v>
      </c>
    </row>
    <row r="48" spans="1:20" x14ac:dyDescent="0.3">
      <c r="A48" s="9" t="s">
        <v>15</v>
      </c>
      <c r="B48" s="9" t="s">
        <v>16</v>
      </c>
      <c r="C48" s="9" t="s">
        <v>17</v>
      </c>
      <c r="D48" s="8" t="s">
        <v>18</v>
      </c>
    </row>
    <row r="49" spans="1:3" x14ac:dyDescent="0.3">
      <c r="A49" s="10" t="str">
        <f>A42</f>
        <v>Not Admitted</v>
      </c>
      <c r="B49" s="10">
        <f t="shared" ref="B49:C49" si="0">B42</f>
        <v>253</v>
      </c>
      <c r="C49" s="11">
        <f t="shared" si="0"/>
        <v>0.48747591522157996</v>
      </c>
    </row>
    <row r="50" spans="1:3" x14ac:dyDescent="0.3">
      <c r="A50" s="10" t="str">
        <f>A41</f>
        <v>Admitted</v>
      </c>
      <c r="B50" s="10">
        <f>B41</f>
        <v>266</v>
      </c>
      <c r="C50" s="11">
        <f>C41</f>
        <v>0.51252408477842004</v>
      </c>
    </row>
    <row r="55" spans="1:3" x14ac:dyDescent="0.3">
      <c r="A55" t="s">
        <v>28</v>
      </c>
    </row>
    <row r="56" spans="1:3" x14ac:dyDescent="0.3">
      <c r="A56" s="3" t="s">
        <v>6</v>
      </c>
      <c r="B56" t="s">
        <v>27</v>
      </c>
    </row>
    <row r="57" spans="1:3" x14ac:dyDescent="0.3">
      <c r="A57" s="4" t="s">
        <v>19</v>
      </c>
      <c r="B57" s="6">
        <v>73</v>
      </c>
    </row>
    <row r="58" spans="1:3" x14ac:dyDescent="0.3">
      <c r="A58" s="4" t="s">
        <v>20</v>
      </c>
      <c r="B58" s="6">
        <v>64</v>
      </c>
    </row>
    <row r="59" spans="1:3" x14ac:dyDescent="0.3">
      <c r="A59" s="4" t="s">
        <v>21</v>
      </c>
      <c r="B59" s="6">
        <v>74</v>
      </c>
    </row>
    <row r="60" spans="1:3" x14ac:dyDescent="0.3">
      <c r="A60" s="4" t="s">
        <v>22</v>
      </c>
      <c r="B60" s="6">
        <v>71</v>
      </c>
    </row>
    <row r="61" spans="1:3" x14ac:dyDescent="0.3">
      <c r="A61" s="4" t="s">
        <v>23</v>
      </c>
      <c r="B61" s="6">
        <v>58</v>
      </c>
    </row>
    <row r="62" spans="1:3" x14ac:dyDescent="0.3">
      <c r="A62" s="4" t="s">
        <v>24</v>
      </c>
      <c r="B62" s="6">
        <v>68</v>
      </c>
    </row>
    <row r="63" spans="1:3" x14ac:dyDescent="0.3">
      <c r="A63" s="4" t="s">
        <v>25</v>
      </c>
      <c r="B63" s="6">
        <v>62</v>
      </c>
    </row>
    <row r="64" spans="1:3" x14ac:dyDescent="0.3">
      <c r="A64" s="4" t="s">
        <v>26</v>
      </c>
      <c r="B64" s="6">
        <v>49</v>
      </c>
    </row>
    <row r="65" spans="1:2" x14ac:dyDescent="0.3">
      <c r="A65" s="4" t="s">
        <v>5</v>
      </c>
      <c r="B65" s="1">
        <v>519</v>
      </c>
    </row>
    <row r="71" spans="1:2" x14ac:dyDescent="0.3">
      <c r="A71" t="s">
        <v>31</v>
      </c>
    </row>
    <row r="72" spans="1:2" x14ac:dyDescent="0.3">
      <c r="A72" s="3" t="s">
        <v>6</v>
      </c>
      <c r="B72" t="s">
        <v>10</v>
      </c>
    </row>
    <row r="73" spans="1:2" x14ac:dyDescent="0.3">
      <c r="A73" s="4" t="s">
        <v>29</v>
      </c>
      <c r="B73" s="6">
        <v>336</v>
      </c>
    </row>
    <row r="74" spans="1:2" x14ac:dyDescent="0.3">
      <c r="A74" s="4" t="s">
        <v>30</v>
      </c>
      <c r="B74" s="6">
        <v>183</v>
      </c>
    </row>
    <row r="75" spans="1:2" x14ac:dyDescent="0.3">
      <c r="A75" s="4" t="s">
        <v>5</v>
      </c>
      <c r="B75" s="1">
        <v>519</v>
      </c>
    </row>
    <row r="79" spans="1:2" x14ac:dyDescent="0.3">
      <c r="A79" t="s">
        <v>35</v>
      </c>
    </row>
    <row r="80" spans="1:2" x14ac:dyDescent="0.3">
      <c r="A80" s="3" t="s">
        <v>6</v>
      </c>
      <c r="B80" t="s">
        <v>34</v>
      </c>
    </row>
    <row r="81" spans="1:2" x14ac:dyDescent="0.3">
      <c r="A81" s="4" t="s">
        <v>32</v>
      </c>
      <c r="B81" s="6">
        <v>254</v>
      </c>
    </row>
    <row r="82" spans="1:2" x14ac:dyDescent="0.3">
      <c r="A82" s="4" t="s">
        <v>33</v>
      </c>
      <c r="B82" s="6">
        <v>265</v>
      </c>
    </row>
    <row r="83" spans="1:2" x14ac:dyDescent="0.3">
      <c r="A83" s="4" t="s">
        <v>5</v>
      </c>
      <c r="B83" s="1">
        <v>519</v>
      </c>
    </row>
    <row r="89" spans="1:2" x14ac:dyDescent="0.3">
      <c r="A89" s="3" t="s">
        <v>6</v>
      </c>
      <c r="B89" t="s">
        <v>44</v>
      </c>
    </row>
    <row r="90" spans="1:2" x14ac:dyDescent="0.3">
      <c r="A90" s="4" t="s">
        <v>43</v>
      </c>
      <c r="B90" s="6">
        <v>3</v>
      </c>
    </row>
    <row r="91" spans="1:2" x14ac:dyDescent="0.3">
      <c r="A91" s="4" t="s">
        <v>37</v>
      </c>
      <c r="B91" s="6">
        <v>8</v>
      </c>
    </row>
    <row r="92" spans="1:2" x14ac:dyDescent="0.3">
      <c r="A92" s="4" t="s">
        <v>36</v>
      </c>
      <c r="B92" s="6">
        <v>11</v>
      </c>
    </row>
    <row r="93" spans="1:2" x14ac:dyDescent="0.3">
      <c r="A93" s="4" t="s">
        <v>42</v>
      </c>
      <c r="B93" s="6">
        <v>15</v>
      </c>
    </row>
    <row r="94" spans="1:2" x14ac:dyDescent="0.3">
      <c r="A94" s="4" t="s">
        <v>39</v>
      </c>
      <c r="B94" s="6">
        <v>16</v>
      </c>
    </row>
    <row r="95" spans="1:2" x14ac:dyDescent="0.3">
      <c r="A95" s="4" t="s">
        <v>41</v>
      </c>
      <c r="B95" s="6">
        <v>51</v>
      </c>
    </row>
    <row r="96" spans="1:2" x14ac:dyDescent="0.3">
      <c r="A96" s="4" t="s">
        <v>38</v>
      </c>
      <c r="B96" s="6">
        <v>102</v>
      </c>
    </row>
    <row r="97" spans="1:2" x14ac:dyDescent="0.3">
      <c r="A97" s="4" t="s">
        <v>40</v>
      </c>
      <c r="B97" s="6">
        <v>313</v>
      </c>
    </row>
    <row r="98" spans="1:2" x14ac:dyDescent="0.3">
      <c r="A98" s="4" t="s">
        <v>5</v>
      </c>
      <c r="B98" s="1">
        <v>519</v>
      </c>
    </row>
    <row r="106" spans="1:2" x14ac:dyDescent="0.3">
      <c r="A106" s="3" t="s">
        <v>6</v>
      </c>
    </row>
    <row r="107" spans="1:2" x14ac:dyDescent="0.3">
      <c r="A107" s="4" t="s">
        <v>45</v>
      </c>
    </row>
    <row r="108" spans="1:2" x14ac:dyDescent="0.3">
      <c r="A108" s="4" t="s">
        <v>5</v>
      </c>
    </row>
  </sheetData>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BF6F-E81A-4C76-8AD9-6938A66CD7B6}">
  <dimension ref="A1:V27"/>
  <sheetViews>
    <sheetView tabSelected="1" zoomScale="85" zoomScaleNormal="100" workbookViewId="0">
      <selection activeCell="V15" sqref="V15"/>
    </sheetView>
  </sheetViews>
  <sheetFormatPr defaultRowHeight="14.4" x14ac:dyDescent="0.3"/>
  <sheetData>
    <row r="1" spans="1:22" x14ac:dyDescent="0.3">
      <c r="A1" s="2"/>
      <c r="B1" s="2"/>
      <c r="C1" s="2"/>
      <c r="D1" s="2"/>
      <c r="E1" s="2"/>
      <c r="F1" s="2"/>
      <c r="G1" s="2"/>
      <c r="H1" s="2"/>
      <c r="I1" s="2"/>
      <c r="J1" s="2"/>
      <c r="K1" s="2"/>
      <c r="L1" s="2"/>
      <c r="M1" s="2"/>
      <c r="N1" s="2"/>
      <c r="O1" s="2"/>
      <c r="P1" s="2"/>
      <c r="Q1" s="2"/>
      <c r="R1" s="2"/>
      <c r="S1" s="2"/>
      <c r="T1" s="2"/>
    </row>
    <row r="2" spans="1:22" x14ac:dyDescent="0.3">
      <c r="A2" s="2"/>
      <c r="B2" s="2"/>
      <c r="C2" s="2"/>
      <c r="D2" s="2"/>
      <c r="E2" s="2"/>
      <c r="F2" s="2"/>
      <c r="G2" s="2"/>
      <c r="H2" s="2"/>
      <c r="I2" s="2"/>
      <c r="J2" s="2"/>
      <c r="K2" s="2"/>
      <c r="L2" s="2"/>
      <c r="M2" s="2"/>
      <c r="N2" s="2"/>
      <c r="O2" s="2"/>
      <c r="P2" s="2"/>
      <c r="Q2" s="2"/>
      <c r="R2" s="2"/>
      <c r="S2" s="2"/>
      <c r="T2" s="2"/>
    </row>
    <row r="3" spans="1:22" x14ac:dyDescent="0.3">
      <c r="A3" s="2"/>
      <c r="B3" s="2"/>
      <c r="C3" s="2"/>
      <c r="D3" s="2"/>
      <c r="E3" s="2"/>
      <c r="F3" s="2"/>
      <c r="G3" s="2"/>
      <c r="H3" s="2"/>
      <c r="I3" s="2"/>
      <c r="J3" s="2"/>
      <c r="K3" s="2"/>
      <c r="L3" s="2"/>
      <c r="M3" s="2"/>
      <c r="N3" s="2"/>
      <c r="O3" s="2"/>
      <c r="P3" s="2"/>
      <c r="Q3" s="2"/>
      <c r="R3" s="2"/>
      <c r="S3" s="2"/>
      <c r="T3" s="2"/>
    </row>
    <row r="4" spans="1:22" x14ac:dyDescent="0.3">
      <c r="A4" s="2"/>
      <c r="B4" s="2"/>
      <c r="C4" s="2"/>
      <c r="D4" s="2"/>
      <c r="E4" s="2"/>
      <c r="F4" s="2"/>
      <c r="G4" s="2"/>
      <c r="H4" s="2"/>
      <c r="I4" s="2"/>
      <c r="J4" s="2"/>
      <c r="K4" s="2"/>
      <c r="L4" s="2"/>
      <c r="M4" s="2"/>
      <c r="N4" s="2"/>
      <c r="O4" s="2"/>
      <c r="P4" s="2"/>
      <c r="Q4" s="2"/>
      <c r="R4" s="2"/>
      <c r="S4" s="2"/>
      <c r="T4" s="2"/>
    </row>
    <row r="5" spans="1:22" x14ac:dyDescent="0.3">
      <c r="A5" s="2"/>
      <c r="B5" s="2"/>
      <c r="C5" s="2"/>
      <c r="D5" s="2"/>
      <c r="E5" s="2"/>
      <c r="F5" s="2"/>
      <c r="G5" s="2"/>
      <c r="H5" s="2"/>
      <c r="I5" s="2"/>
      <c r="J5" s="2"/>
      <c r="K5" s="2"/>
      <c r="L5" s="2"/>
      <c r="M5" s="2"/>
      <c r="N5" s="2"/>
      <c r="O5" s="2"/>
      <c r="P5" s="2"/>
      <c r="Q5" s="2"/>
      <c r="R5" s="2"/>
      <c r="S5" s="2"/>
      <c r="T5" s="2"/>
    </row>
    <row r="6" spans="1:22" x14ac:dyDescent="0.3">
      <c r="A6" s="2"/>
      <c r="B6" s="2"/>
      <c r="C6" s="2"/>
      <c r="D6" s="2"/>
      <c r="E6" s="2"/>
      <c r="F6" s="2"/>
      <c r="G6" s="2"/>
      <c r="H6" s="2"/>
      <c r="I6" s="2"/>
      <c r="J6" s="2"/>
      <c r="K6" s="2"/>
      <c r="L6" s="2"/>
      <c r="M6" s="2"/>
      <c r="N6" s="2"/>
      <c r="O6" s="2"/>
      <c r="P6" s="2"/>
      <c r="Q6" s="2"/>
      <c r="R6" s="2"/>
      <c r="S6" s="2"/>
      <c r="T6" s="2"/>
    </row>
    <row r="7" spans="1:22" x14ac:dyDescent="0.3">
      <c r="A7" s="2"/>
      <c r="B7" s="2"/>
      <c r="C7" s="2"/>
      <c r="D7" s="2"/>
      <c r="E7" s="2"/>
      <c r="F7" s="2"/>
      <c r="G7" s="2"/>
      <c r="H7" s="2"/>
      <c r="I7" s="2"/>
      <c r="J7" s="2"/>
      <c r="K7" s="2"/>
      <c r="L7" s="2"/>
      <c r="M7" s="2"/>
      <c r="N7" s="2"/>
      <c r="O7" s="2"/>
      <c r="P7" s="2"/>
      <c r="Q7" s="2"/>
      <c r="R7" s="2"/>
      <c r="S7" s="2"/>
      <c r="T7" s="2"/>
    </row>
    <row r="8" spans="1:22" x14ac:dyDescent="0.3">
      <c r="A8" s="2"/>
      <c r="B8" s="2"/>
      <c r="C8" s="2"/>
      <c r="D8" s="2"/>
      <c r="E8" s="2"/>
      <c r="F8" s="2"/>
      <c r="G8" s="2"/>
      <c r="H8" s="2"/>
      <c r="I8" s="2"/>
      <c r="J8" s="2"/>
      <c r="K8" s="2"/>
      <c r="L8" s="2"/>
      <c r="M8" s="2"/>
      <c r="N8" s="2"/>
      <c r="O8" s="2"/>
      <c r="P8" s="2"/>
      <c r="Q8" s="2"/>
      <c r="R8" s="2"/>
      <c r="S8" s="2"/>
      <c r="T8" s="2"/>
    </row>
    <row r="9" spans="1:22" x14ac:dyDescent="0.3">
      <c r="A9" s="2"/>
      <c r="B9" s="2"/>
      <c r="C9" s="2"/>
      <c r="D9" s="2"/>
      <c r="E9" s="2"/>
      <c r="F9" s="2"/>
      <c r="G9" s="2"/>
      <c r="H9" s="2"/>
      <c r="I9" s="2"/>
      <c r="J9" s="2"/>
      <c r="K9" s="2"/>
      <c r="L9" s="2"/>
      <c r="M9" s="2"/>
      <c r="N9" s="2"/>
      <c r="O9" s="2"/>
      <c r="P9" s="2"/>
      <c r="Q9" s="2"/>
      <c r="R9" s="2"/>
      <c r="S9" s="2"/>
      <c r="T9" s="2"/>
    </row>
    <row r="10" spans="1:22" x14ac:dyDescent="0.3">
      <c r="A10" s="2"/>
      <c r="B10" s="2"/>
      <c r="C10" s="2"/>
      <c r="D10" s="2"/>
      <c r="E10" s="2"/>
      <c r="F10" s="2"/>
      <c r="G10" s="2"/>
      <c r="H10" s="2"/>
      <c r="I10" s="2"/>
      <c r="J10" s="2"/>
      <c r="K10" s="2"/>
      <c r="L10" s="2"/>
      <c r="M10" s="2"/>
      <c r="N10" s="2"/>
      <c r="O10" s="2"/>
      <c r="P10" s="2"/>
      <c r="Q10" s="2"/>
      <c r="R10" s="2"/>
      <c r="S10" s="2"/>
      <c r="T10" s="2"/>
    </row>
    <row r="11" spans="1:22" x14ac:dyDescent="0.3">
      <c r="A11" s="2"/>
      <c r="B11" s="2"/>
      <c r="C11" s="2"/>
      <c r="D11" s="2"/>
      <c r="E11" s="2"/>
      <c r="F11" s="2"/>
      <c r="G11" s="2"/>
      <c r="H11" s="2"/>
      <c r="I11" s="2"/>
      <c r="J11" s="2"/>
      <c r="K11" s="2"/>
      <c r="L11" s="2"/>
      <c r="M11" s="2"/>
      <c r="N11" s="2"/>
      <c r="O11" s="2"/>
      <c r="P11" s="2"/>
      <c r="Q11" s="2"/>
      <c r="R11" s="2"/>
      <c r="S11" s="2"/>
      <c r="T11" s="2"/>
    </row>
    <row r="12" spans="1:22" x14ac:dyDescent="0.3">
      <c r="A12" s="2"/>
      <c r="B12" s="2"/>
      <c r="C12" s="2"/>
      <c r="D12" s="2"/>
      <c r="E12" s="2"/>
      <c r="F12" s="2"/>
      <c r="G12" s="2"/>
      <c r="H12" s="2"/>
      <c r="I12" s="2"/>
      <c r="J12" s="2"/>
      <c r="K12" s="2"/>
      <c r="L12" s="2"/>
      <c r="M12" s="2"/>
      <c r="N12" s="2"/>
      <c r="O12" s="2"/>
      <c r="P12" s="2"/>
      <c r="Q12" s="2"/>
      <c r="R12" s="2"/>
      <c r="S12" s="2"/>
      <c r="T12" s="2"/>
    </row>
    <row r="13" spans="1:22" x14ac:dyDescent="0.3">
      <c r="A13" s="2"/>
      <c r="B13" s="2"/>
      <c r="C13" s="2"/>
      <c r="D13" s="2"/>
      <c r="E13" s="2"/>
      <c r="F13" s="2"/>
      <c r="G13" s="2"/>
      <c r="H13" s="2"/>
      <c r="I13" s="2"/>
      <c r="J13" s="2"/>
      <c r="K13" s="2"/>
      <c r="L13" s="2"/>
      <c r="M13" s="2"/>
      <c r="N13" s="2"/>
      <c r="O13" s="2"/>
      <c r="P13" s="2"/>
      <c r="Q13" s="2"/>
      <c r="R13" s="2"/>
      <c r="S13" s="2"/>
      <c r="T13" s="2"/>
    </row>
    <row r="14" spans="1:22" ht="21" x14ac:dyDescent="0.4">
      <c r="A14" s="2"/>
      <c r="B14" s="2"/>
      <c r="C14" s="2"/>
      <c r="D14" s="2"/>
      <c r="E14" s="2"/>
      <c r="F14" s="2"/>
      <c r="G14" s="2"/>
      <c r="H14" s="2"/>
      <c r="I14" s="2"/>
      <c r="J14" s="2"/>
      <c r="K14" s="2"/>
      <c r="L14" s="2"/>
      <c r="M14" s="2"/>
      <c r="N14" s="2"/>
      <c r="O14" s="2"/>
      <c r="P14" s="2"/>
      <c r="Q14" s="2"/>
      <c r="R14" s="2"/>
      <c r="S14" s="2"/>
      <c r="T14" s="2"/>
      <c r="V14" s="12"/>
    </row>
    <row r="15" spans="1:22" x14ac:dyDescent="0.3">
      <c r="A15" s="2"/>
      <c r="B15" s="2"/>
      <c r="C15" s="2"/>
      <c r="D15" s="2"/>
      <c r="E15" s="2"/>
      <c r="F15" s="2"/>
      <c r="G15" s="2"/>
      <c r="H15" s="2"/>
      <c r="I15" s="2"/>
      <c r="J15" s="2"/>
      <c r="K15" s="2"/>
      <c r="L15" s="2"/>
      <c r="M15" s="2"/>
      <c r="N15" s="2"/>
      <c r="O15" s="2"/>
      <c r="P15" s="2"/>
      <c r="Q15" s="2"/>
      <c r="R15" s="2"/>
      <c r="S15" s="2"/>
      <c r="T15" s="2"/>
    </row>
    <row r="16" spans="1:22" x14ac:dyDescent="0.3">
      <c r="A16" s="2"/>
      <c r="B16" s="2"/>
      <c r="C16" s="2"/>
      <c r="D16" s="2"/>
      <c r="E16" s="2"/>
      <c r="F16" s="2"/>
      <c r="G16" s="2"/>
      <c r="H16" s="2"/>
      <c r="I16" s="2"/>
      <c r="J16" s="2"/>
      <c r="K16" s="2"/>
      <c r="L16" s="2"/>
      <c r="M16" s="2"/>
      <c r="N16" s="2"/>
      <c r="O16" s="2"/>
      <c r="P16" s="2"/>
      <c r="Q16" s="2"/>
      <c r="R16" s="2"/>
      <c r="S16" s="2"/>
      <c r="T16" s="2"/>
    </row>
    <row r="17" spans="1:20" x14ac:dyDescent="0.3">
      <c r="A17" s="2"/>
      <c r="B17" s="2"/>
      <c r="C17" s="2"/>
      <c r="D17" s="2"/>
      <c r="E17" s="2"/>
      <c r="F17" s="2"/>
      <c r="G17" s="2"/>
      <c r="H17" s="2"/>
      <c r="I17" s="2"/>
      <c r="J17" s="2"/>
      <c r="K17" s="2"/>
      <c r="L17" s="2"/>
      <c r="M17" s="2"/>
      <c r="N17" s="2"/>
      <c r="O17" s="2"/>
      <c r="P17" s="2"/>
      <c r="Q17" s="2"/>
      <c r="R17" s="2"/>
      <c r="S17" s="2"/>
      <c r="T17" s="2"/>
    </row>
    <row r="18" spans="1:20" x14ac:dyDescent="0.3">
      <c r="A18" s="2"/>
      <c r="B18" s="2"/>
      <c r="C18" s="2"/>
      <c r="D18" s="2"/>
      <c r="E18" s="2"/>
      <c r="F18" s="2"/>
      <c r="G18" s="2"/>
      <c r="H18" s="2"/>
      <c r="I18" s="2"/>
      <c r="J18" s="2"/>
      <c r="K18" s="2"/>
      <c r="L18" s="2"/>
      <c r="M18" s="2"/>
      <c r="N18" s="2"/>
      <c r="O18" s="2"/>
      <c r="P18" s="2"/>
      <c r="Q18" s="2"/>
      <c r="R18" s="2"/>
      <c r="S18" s="2"/>
      <c r="T18" s="2"/>
    </row>
    <row r="19" spans="1:20" x14ac:dyDescent="0.3">
      <c r="A19" s="2"/>
      <c r="B19" s="2"/>
      <c r="C19" s="2"/>
      <c r="D19" s="2"/>
      <c r="E19" s="2"/>
      <c r="F19" s="2"/>
      <c r="G19" s="2"/>
      <c r="H19" s="2"/>
      <c r="I19" s="2"/>
      <c r="J19" s="2"/>
      <c r="K19" s="2"/>
      <c r="L19" s="2"/>
      <c r="M19" s="2"/>
      <c r="N19" s="2"/>
      <c r="O19" s="2"/>
      <c r="P19" s="2"/>
      <c r="Q19" s="2"/>
      <c r="R19" s="2"/>
      <c r="S19" s="2"/>
      <c r="T19" s="2"/>
    </row>
    <row r="20" spans="1:20" x14ac:dyDescent="0.3">
      <c r="A20" s="2"/>
      <c r="B20" s="2"/>
      <c r="C20" s="2"/>
      <c r="D20" s="2"/>
      <c r="E20" s="2"/>
      <c r="F20" s="2"/>
      <c r="G20" s="2"/>
      <c r="H20" s="2"/>
      <c r="I20" s="2"/>
      <c r="J20" s="2"/>
      <c r="K20" s="2"/>
      <c r="L20" s="2"/>
      <c r="M20" s="2"/>
      <c r="N20" s="2"/>
      <c r="O20" s="2"/>
      <c r="P20" s="2"/>
      <c r="Q20" s="2"/>
      <c r="R20" s="2"/>
      <c r="S20" s="2"/>
      <c r="T20" s="2"/>
    </row>
    <row r="21" spans="1:20" x14ac:dyDescent="0.3">
      <c r="A21" s="2"/>
      <c r="B21" s="2"/>
      <c r="C21" s="2"/>
      <c r="D21" s="2"/>
      <c r="E21" s="2"/>
      <c r="F21" s="2"/>
      <c r="G21" s="2"/>
      <c r="H21" s="2"/>
      <c r="I21" s="2"/>
      <c r="J21" s="2"/>
      <c r="K21" s="2"/>
      <c r="L21" s="2"/>
      <c r="M21" s="2"/>
      <c r="N21" s="2"/>
      <c r="O21" s="2"/>
      <c r="P21" s="2"/>
      <c r="Q21" s="2"/>
      <c r="R21" s="2"/>
      <c r="S21" s="2"/>
      <c r="T21" s="2"/>
    </row>
    <row r="22" spans="1:20" x14ac:dyDescent="0.3">
      <c r="A22" s="2"/>
      <c r="B22" s="2"/>
      <c r="C22" s="2"/>
      <c r="D22" s="2"/>
      <c r="E22" s="2"/>
      <c r="F22" s="2"/>
      <c r="G22" s="2"/>
      <c r="H22" s="2"/>
      <c r="I22" s="2"/>
      <c r="J22" s="2"/>
      <c r="K22" s="2"/>
      <c r="L22" s="2"/>
      <c r="M22" s="2"/>
      <c r="N22" s="2"/>
      <c r="O22" s="2"/>
      <c r="P22" s="2"/>
      <c r="Q22" s="2"/>
      <c r="R22" s="2"/>
      <c r="S22" s="2"/>
      <c r="T22" s="2"/>
    </row>
    <row r="23" spans="1:20" x14ac:dyDescent="0.3">
      <c r="A23" s="2"/>
      <c r="B23" s="2"/>
      <c r="C23" s="2"/>
      <c r="D23" s="2"/>
      <c r="E23" s="2"/>
      <c r="F23" s="2"/>
      <c r="G23" s="2"/>
      <c r="H23" s="2"/>
      <c r="I23" s="2"/>
      <c r="J23" s="2"/>
      <c r="K23" s="2"/>
      <c r="L23" s="2"/>
      <c r="M23" s="2"/>
      <c r="N23" s="2"/>
      <c r="O23" s="2"/>
      <c r="P23" s="2"/>
      <c r="Q23" s="2"/>
      <c r="R23" s="2"/>
      <c r="S23" s="2"/>
      <c r="T23" s="2"/>
    </row>
    <row r="24" spans="1:20" x14ac:dyDescent="0.3">
      <c r="A24" s="2"/>
      <c r="B24" s="2"/>
      <c r="C24" s="2"/>
      <c r="D24" s="2"/>
      <c r="E24" s="2"/>
      <c r="F24" s="2"/>
      <c r="G24" s="2"/>
      <c r="H24" s="2"/>
      <c r="I24" s="2"/>
      <c r="J24" s="2"/>
      <c r="K24" s="2"/>
      <c r="L24" s="2"/>
      <c r="M24" s="2"/>
      <c r="N24" s="2"/>
      <c r="O24" s="2"/>
      <c r="P24" s="2"/>
      <c r="Q24" s="2"/>
      <c r="R24" s="2"/>
      <c r="S24" s="2"/>
      <c r="T24" s="2"/>
    </row>
    <row r="25" spans="1:20" x14ac:dyDescent="0.3">
      <c r="A25" s="2"/>
      <c r="B25" s="2"/>
      <c r="C25" s="2"/>
      <c r="D25" s="2"/>
      <c r="E25" s="2"/>
      <c r="F25" s="2"/>
      <c r="G25" s="2"/>
      <c r="H25" s="2"/>
      <c r="I25" s="2"/>
      <c r="J25" s="2"/>
      <c r="K25" s="2"/>
      <c r="L25" s="2"/>
      <c r="M25" s="2"/>
      <c r="N25" s="2"/>
      <c r="O25" s="2"/>
      <c r="P25" s="2"/>
      <c r="Q25" s="2"/>
      <c r="R25" s="2"/>
      <c r="S25" s="2"/>
      <c r="T25" s="2"/>
    </row>
    <row r="26" spans="1:20" x14ac:dyDescent="0.3">
      <c r="A26" s="2"/>
      <c r="B26" s="2"/>
      <c r="C26" s="2"/>
      <c r="D26" s="2"/>
      <c r="E26" s="2"/>
      <c r="F26" s="2"/>
      <c r="G26" s="2"/>
      <c r="H26" s="2"/>
      <c r="I26" s="2"/>
      <c r="J26" s="2"/>
      <c r="K26" s="2"/>
      <c r="L26" s="2"/>
      <c r="M26" s="2"/>
      <c r="N26" s="2"/>
      <c r="O26" s="2"/>
      <c r="P26" s="2"/>
      <c r="Q26" s="2"/>
      <c r="R26" s="2"/>
      <c r="S26" s="2"/>
      <c r="T26" s="2"/>
    </row>
    <row r="27" spans="1:20" x14ac:dyDescent="0.3">
      <c r="A27" s="2"/>
      <c r="B27" s="2"/>
      <c r="C27" s="2"/>
      <c r="D27" s="2"/>
      <c r="E27" s="2"/>
      <c r="F27" s="2"/>
      <c r="G27" s="2"/>
      <c r="H27" s="2"/>
      <c r="I27" s="2"/>
      <c r="J27" s="2"/>
      <c r="K27" s="2"/>
      <c r="L27" s="2"/>
      <c r="M27" s="2"/>
      <c r="N27" s="2"/>
      <c r="O27" s="2"/>
      <c r="P27" s="2"/>
      <c r="Q27" s="2"/>
      <c r="R27" s="2"/>
      <c r="S27" s="2"/>
      <c r="T27"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D7EC-159E-4D5A-96C3-60AD461D915C}">
  <dimension ref="A1:O23"/>
  <sheetViews>
    <sheetView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5"/>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row r="19" spans="1:15" x14ac:dyDescent="0.3">
      <c r="A19" s="5"/>
      <c r="B19" s="5"/>
      <c r="C19" s="5"/>
      <c r="D19" s="5"/>
      <c r="E19" s="5"/>
      <c r="F19" s="5"/>
      <c r="G19" s="5"/>
      <c r="H19" s="5"/>
      <c r="I19" s="5"/>
      <c r="J19" s="5"/>
      <c r="K19" s="5"/>
      <c r="L19" s="5"/>
      <c r="M19" s="5"/>
      <c r="N19" s="5"/>
      <c r="O19" s="5"/>
    </row>
    <row r="20" spans="1:15" x14ac:dyDescent="0.3">
      <c r="A20" s="5"/>
      <c r="B20" s="5"/>
      <c r="C20" s="5"/>
      <c r="D20" s="5"/>
      <c r="E20" s="5"/>
      <c r="F20" s="5"/>
      <c r="G20" s="5"/>
      <c r="H20" s="5"/>
      <c r="I20" s="5"/>
      <c r="J20" s="5"/>
      <c r="K20" s="5"/>
      <c r="L20" s="5"/>
      <c r="M20" s="5"/>
      <c r="N20" s="5"/>
      <c r="O20" s="5"/>
    </row>
    <row r="21" spans="1:15" x14ac:dyDescent="0.3">
      <c r="A21" s="5"/>
      <c r="B21" s="5"/>
      <c r="C21" s="5"/>
      <c r="D21" s="5"/>
      <c r="E21" s="5"/>
      <c r="F21" s="5"/>
      <c r="G21" s="5"/>
      <c r="H21" s="5"/>
      <c r="I21" s="5"/>
      <c r="J21" s="5"/>
      <c r="K21" s="5"/>
      <c r="L21" s="5"/>
      <c r="M21" s="5"/>
      <c r="N21" s="5"/>
      <c r="O21" s="5"/>
    </row>
    <row r="22" spans="1:15" x14ac:dyDescent="0.3">
      <c r="A22" s="5"/>
      <c r="B22" s="5"/>
      <c r="C22" s="5"/>
      <c r="D22" s="5"/>
      <c r="E22" s="5"/>
      <c r="F22" s="5"/>
      <c r="G22" s="5"/>
      <c r="H22" s="5"/>
      <c r="I22" s="5"/>
      <c r="J22" s="5"/>
      <c r="K22" s="5"/>
      <c r="L22" s="5"/>
      <c r="M22" s="5"/>
      <c r="N22" s="5"/>
      <c r="O22" s="5"/>
    </row>
    <row r="23" spans="1:15" x14ac:dyDescent="0.3">
      <c r="A23" s="5"/>
      <c r="B23" s="5"/>
      <c r="C23" s="5"/>
      <c r="D23" s="5"/>
      <c r="E23" s="5"/>
      <c r="F23" s="5"/>
      <c r="G23" s="5"/>
      <c r="H23" s="5"/>
      <c r="I23" s="5"/>
      <c r="J23" s="5"/>
      <c r="K23" s="5"/>
      <c r="L23" s="5"/>
      <c r="M23" s="5"/>
      <c r="N23" s="5"/>
      <c r="O2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5A45-5BAA-4B2B-BA6C-E083F8163522}">
  <dimension ref="A1:K22"/>
  <sheetViews>
    <sheetView workbookViewId="0"/>
  </sheetViews>
  <sheetFormatPr defaultRowHeight="14.4" x14ac:dyDescent="0.3"/>
  <sheetData>
    <row r="1" spans="1:11" x14ac:dyDescent="0.3">
      <c r="A1" s="5"/>
      <c r="B1" s="5"/>
      <c r="C1" s="5"/>
      <c r="D1" s="5"/>
      <c r="E1" s="5"/>
      <c r="F1" s="5"/>
      <c r="G1" s="5"/>
      <c r="H1" s="5"/>
      <c r="I1" s="5"/>
      <c r="J1" s="5"/>
      <c r="K1" s="5"/>
    </row>
    <row r="2" spans="1:11" x14ac:dyDescent="0.3">
      <c r="A2" s="5"/>
      <c r="B2" s="5"/>
      <c r="C2" s="5"/>
      <c r="D2" s="5"/>
      <c r="E2" s="5"/>
      <c r="F2" s="5"/>
      <c r="G2" s="5"/>
      <c r="H2" s="5"/>
      <c r="I2" s="5"/>
      <c r="J2" s="5"/>
      <c r="K2" s="5"/>
    </row>
    <row r="3" spans="1:11" x14ac:dyDescent="0.3">
      <c r="A3" s="5"/>
      <c r="B3" s="5"/>
      <c r="C3" s="5"/>
      <c r="D3" s="5"/>
      <c r="E3" s="5"/>
      <c r="F3" s="5"/>
      <c r="G3" s="5"/>
      <c r="H3" s="5"/>
      <c r="I3" s="5"/>
      <c r="J3" s="5"/>
      <c r="K3" s="5"/>
    </row>
    <row r="4" spans="1:11" x14ac:dyDescent="0.3">
      <c r="A4" s="5"/>
      <c r="B4" s="5"/>
      <c r="C4" s="5"/>
      <c r="D4" s="5"/>
      <c r="E4" s="5"/>
      <c r="F4" s="5"/>
      <c r="G4" s="5"/>
      <c r="H4" s="5"/>
      <c r="I4" s="5"/>
      <c r="J4" s="5"/>
      <c r="K4" s="5"/>
    </row>
    <row r="5" spans="1:11" x14ac:dyDescent="0.3">
      <c r="A5" s="5"/>
      <c r="B5" s="5"/>
      <c r="C5" s="5"/>
      <c r="D5" s="5"/>
      <c r="E5" s="5"/>
      <c r="F5" s="5"/>
      <c r="G5" s="5"/>
      <c r="H5" s="5"/>
      <c r="I5" s="5"/>
      <c r="J5" s="5"/>
      <c r="K5" s="5"/>
    </row>
    <row r="6" spans="1:11" x14ac:dyDescent="0.3">
      <c r="A6" s="5"/>
      <c r="B6" s="5"/>
      <c r="C6" s="5"/>
      <c r="D6" s="5"/>
      <c r="E6" s="5"/>
      <c r="F6" s="5"/>
      <c r="G6" s="5"/>
      <c r="H6" s="5"/>
      <c r="I6" s="5"/>
      <c r="J6" s="5"/>
      <c r="K6" s="5"/>
    </row>
    <row r="7" spans="1:11" x14ac:dyDescent="0.3">
      <c r="A7" s="5"/>
      <c r="B7" s="5"/>
      <c r="C7" s="5"/>
      <c r="D7" s="5"/>
      <c r="E7" s="5"/>
      <c r="F7" s="5"/>
      <c r="G7" s="5"/>
      <c r="H7" s="5"/>
      <c r="I7" s="5"/>
      <c r="J7" s="5"/>
      <c r="K7" s="5"/>
    </row>
    <row r="8" spans="1:11" x14ac:dyDescent="0.3">
      <c r="A8" s="5"/>
      <c r="B8" s="5"/>
      <c r="C8" s="5"/>
      <c r="D8" s="5"/>
      <c r="E8" s="5"/>
      <c r="F8" s="5"/>
      <c r="G8" s="5"/>
      <c r="H8" s="5"/>
      <c r="I8" s="5"/>
      <c r="J8" s="5"/>
      <c r="K8" s="5"/>
    </row>
    <row r="9" spans="1:11" x14ac:dyDescent="0.3">
      <c r="A9" s="5"/>
      <c r="B9" s="5"/>
      <c r="C9" s="5"/>
      <c r="D9" s="5"/>
      <c r="E9" s="5"/>
      <c r="F9" s="5"/>
      <c r="G9" s="5"/>
      <c r="H9" s="5"/>
      <c r="I9" s="5"/>
      <c r="J9" s="5"/>
      <c r="K9" s="5"/>
    </row>
    <row r="10" spans="1:11" x14ac:dyDescent="0.3">
      <c r="A10" s="5"/>
      <c r="B10" s="5"/>
      <c r="C10" s="5"/>
      <c r="D10" s="5"/>
      <c r="E10" s="5"/>
      <c r="F10" s="5"/>
      <c r="G10" s="5"/>
      <c r="H10" s="5"/>
      <c r="I10" s="5"/>
      <c r="J10" s="5"/>
      <c r="K10" s="5"/>
    </row>
    <row r="11" spans="1:11" x14ac:dyDescent="0.3">
      <c r="A11" s="5"/>
      <c r="B11" s="5"/>
      <c r="C11" s="5"/>
      <c r="D11" s="5"/>
      <c r="E11" s="5"/>
      <c r="F11" s="5"/>
      <c r="G11" s="5"/>
      <c r="H11" s="5"/>
      <c r="I11" s="5"/>
      <c r="J11" s="5"/>
      <c r="K11" s="5"/>
    </row>
    <row r="12" spans="1:11" x14ac:dyDescent="0.3">
      <c r="A12" s="5"/>
      <c r="B12" s="5"/>
      <c r="C12" s="5"/>
      <c r="D12" s="5"/>
      <c r="E12" s="5"/>
      <c r="F12" s="5"/>
      <c r="G12" s="5"/>
      <c r="H12" s="5"/>
      <c r="I12" s="5"/>
      <c r="J12" s="5"/>
      <c r="K12" s="5"/>
    </row>
    <row r="13" spans="1:11" x14ac:dyDescent="0.3">
      <c r="A13" s="5"/>
      <c r="B13" s="5"/>
      <c r="C13" s="5"/>
      <c r="D13" s="5"/>
      <c r="E13" s="5"/>
      <c r="F13" s="5"/>
      <c r="G13" s="5"/>
      <c r="H13" s="5"/>
      <c r="I13" s="5"/>
      <c r="J13" s="5"/>
      <c r="K13" s="5"/>
    </row>
    <row r="14" spans="1:11" x14ac:dyDescent="0.3">
      <c r="A14" s="5"/>
      <c r="B14" s="5"/>
      <c r="C14" s="5"/>
      <c r="D14" s="5"/>
      <c r="E14" s="5"/>
      <c r="F14" s="5"/>
      <c r="G14" s="5"/>
      <c r="H14" s="5"/>
      <c r="I14" s="5"/>
      <c r="J14" s="5"/>
      <c r="K14" s="5"/>
    </row>
    <row r="15" spans="1:11" x14ac:dyDescent="0.3">
      <c r="A15" s="5"/>
      <c r="B15" s="5"/>
      <c r="C15" s="5"/>
      <c r="D15" s="5"/>
      <c r="E15" s="5"/>
      <c r="F15" s="5"/>
      <c r="G15" s="5"/>
      <c r="H15" s="5"/>
      <c r="I15" s="5"/>
      <c r="J15" s="5"/>
      <c r="K15" s="5"/>
    </row>
    <row r="16" spans="1:11" x14ac:dyDescent="0.3">
      <c r="A16" s="5"/>
      <c r="B16" s="5"/>
      <c r="C16" s="5"/>
      <c r="D16" s="5"/>
      <c r="E16" s="5"/>
      <c r="F16" s="5"/>
      <c r="G16" s="5"/>
      <c r="H16" s="5"/>
      <c r="I16" s="5"/>
      <c r="J16" s="5"/>
      <c r="K16" s="5"/>
    </row>
    <row r="17" spans="1:11" x14ac:dyDescent="0.3">
      <c r="A17" s="5"/>
      <c r="B17" s="5"/>
      <c r="C17" s="5"/>
      <c r="D17" s="5"/>
      <c r="E17" s="5"/>
      <c r="F17" s="5"/>
      <c r="G17" s="5"/>
      <c r="H17" s="5"/>
      <c r="I17" s="5"/>
      <c r="J17" s="5"/>
      <c r="K17" s="5"/>
    </row>
    <row r="18" spans="1:11" x14ac:dyDescent="0.3">
      <c r="A18" s="5"/>
      <c r="B18" s="5"/>
      <c r="C18" s="5"/>
      <c r="D18" s="5"/>
      <c r="E18" s="5"/>
      <c r="F18" s="5"/>
      <c r="G18" s="5"/>
      <c r="H18" s="5"/>
      <c r="I18" s="5"/>
      <c r="J18" s="5"/>
      <c r="K18" s="5"/>
    </row>
    <row r="19" spans="1:11" x14ac:dyDescent="0.3">
      <c r="A19" s="5"/>
      <c r="B19" s="5"/>
      <c r="C19" s="5"/>
      <c r="D19" s="5"/>
      <c r="E19" s="5"/>
      <c r="F19" s="5"/>
      <c r="G19" s="5"/>
      <c r="H19" s="5"/>
      <c r="I19" s="5"/>
      <c r="J19" s="5"/>
      <c r="K19" s="5"/>
    </row>
    <row r="20" spans="1:11" x14ac:dyDescent="0.3">
      <c r="A20" s="5"/>
      <c r="B20" s="5"/>
      <c r="C20" s="5"/>
      <c r="D20" s="5"/>
      <c r="E20" s="5"/>
      <c r="F20" s="5"/>
      <c r="G20" s="5"/>
      <c r="H20" s="5"/>
      <c r="I20" s="5"/>
      <c r="J20" s="5"/>
      <c r="K20" s="5"/>
    </row>
    <row r="21" spans="1:11" x14ac:dyDescent="0.3">
      <c r="A21" s="5"/>
      <c r="B21" s="5"/>
      <c r="C21" s="5"/>
      <c r="D21" s="5"/>
      <c r="E21" s="5"/>
      <c r="F21" s="5"/>
      <c r="G21" s="5"/>
      <c r="H21" s="5"/>
      <c r="I21" s="5"/>
      <c r="J21" s="5"/>
      <c r="K21" s="5"/>
    </row>
    <row r="22" spans="1:11" x14ac:dyDescent="0.3">
      <c r="A22" s="5"/>
      <c r="B22" s="5"/>
      <c r="C22" s="5"/>
      <c r="D22" s="5"/>
      <c r="E22" s="5"/>
      <c r="F22" s="5"/>
      <c r="G22" s="5"/>
      <c r="H22" s="5"/>
      <c r="I22" s="5"/>
      <c r="J22" s="5"/>
      <c r="K2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EDE9-56EA-46F4-8E5B-55EB7C210095}">
  <dimension ref="A1:O23"/>
  <sheetViews>
    <sheetView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5"/>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row r="19" spans="1:15" x14ac:dyDescent="0.3">
      <c r="A19" s="5"/>
      <c r="B19" s="5"/>
      <c r="C19" s="5"/>
      <c r="D19" s="5"/>
      <c r="E19" s="5"/>
      <c r="F19" s="5"/>
      <c r="G19" s="5"/>
      <c r="H19" s="5"/>
      <c r="I19" s="5"/>
      <c r="J19" s="5"/>
      <c r="K19" s="5"/>
      <c r="L19" s="5"/>
      <c r="M19" s="5"/>
      <c r="N19" s="5"/>
      <c r="O19" s="5"/>
    </row>
    <row r="20" spans="1:15" x14ac:dyDescent="0.3">
      <c r="A20" s="5"/>
      <c r="B20" s="5"/>
      <c r="C20" s="5"/>
      <c r="D20" s="5"/>
      <c r="E20" s="5"/>
      <c r="F20" s="5"/>
      <c r="G20" s="5"/>
      <c r="H20" s="5"/>
      <c r="I20" s="5"/>
      <c r="J20" s="5"/>
      <c r="K20" s="5"/>
      <c r="L20" s="5"/>
      <c r="M20" s="5"/>
      <c r="N20" s="5"/>
      <c r="O20" s="5"/>
    </row>
    <row r="21" spans="1:15" x14ac:dyDescent="0.3">
      <c r="A21" s="5"/>
      <c r="B21" s="5"/>
      <c r="C21" s="5"/>
      <c r="D21" s="5"/>
      <c r="E21" s="5"/>
      <c r="F21" s="5"/>
      <c r="G21" s="5"/>
      <c r="H21" s="5"/>
      <c r="I21" s="5"/>
      <c r="J21" s="5"/>
      <c r="K21" s="5"/>
      <c r="L21" s="5"/>
      <c r="M21" s="5"/>
      <c r="N21" s="5"/>
      <c r="O21" s="5"/>
    </row>
    <row r="22" spans="1:15" x14ac:dyDescent="0.3">
      <c r="A22" s="5"/>
      <c r="B22" s="5"/>
      <c r="C22" s="5"/>
      <c r="D22" s="5"/>
      <c r="E22" s="5"/>
      <c r="F22" s="5"/>
      <c r="G22" s="5"/>
      <c r="H22" s="5"/>
      <c r="I22" s="5"/>
      <c r="J22" s="5"/>
      <c r="K22" s="5"/>
      <c r="L22" s="5"/>
      <c r="M22" s="5"/>
      <c r="N22" s="5"/>
      <c r="O22" s="5"/>
    </row>
    <row r="23" spans="1:15" x14ac:dyDescent="0.3">
      <c r="A23" s="5"/>
      <c r="B23" s="5"/>
      <c r="C23" s="5"/>
      <c r="D23" s="5"/>
      <c r="E23" s="5"/>
      <c r="F23" s="5"/>
      <c r="G23" s="5"/>
      <c r="H23" s="5"/>
      <c r="I23" s="5"/>
      <c r="J23" s="5"/>
      <c r="K23" s="5"/>
      <c r="L23" s="5"/>
      <c r="M23" s="5"/>
      <c r="N23" s="5"/>
      <c r="O2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13354B6-F9D9-4D89-AFF3-0B3079F2DDC8}">
  <ds:schemaRefs/>
</ds:datastoreItem>
</file>

<file path=customXml/itemProps2.xml><?xml version="1.0" encoding="utf-8"?>
<ds:datastoreItem xmlns:ds="http://schemas.openxmlformats.org/officeDocument/2006/customXml" ds:itemID="{CD50ED82-6B65-4192-9CF8-DB711EC84A89}">
  <ds:schemaRefs/>
</ds:datastoreItem>
</file>

<file path=customXml/itemProps3.xml><?xml version="1.0" encoding="utf-8"?>
<ds:datastoreItem xmlns:ds="http://schemas.openxmlformats.org/officeDocument/2006/customXml" ds:itemID="{156F227D-2142-49F0-B039-EFFD20E53CAE}">
  <ds:schemaRefs/>
</ds:datastoreItem>
</file>

<file path=customXml/itemProps4.xml><?xml version="1.0" encoding="utf-8"?>
<ds:datastoreItem xmlns:ds="http://schemas.openxmlformats.org/officeDocument/2006/customXml" ds:itemID="{8D849EC3-04D7-4529-9253-29751DCD6892}">
  <ds:schemaRefs/>
</ds:datastoreItem>
</file>

<file path=customXml/itemProps5.xml><?xml version="1.0" encoding="utf-8"?>
<ds:datastoreItem xmlns:ds="http://schemas.openxmlformats.org/officeDocument/2006/customXml" ds:itemID="{B1F6D07A-9900-4E31-AC87-4CD380ED64FA}">
  <ds:schemaRefs/>
</ds:datastoreItem>
</file>

<file path=customXml/itemProps6.xml><?xml version="1.0" encoding="utf-8"?>
<ds:datastoreItem xmlns:ds="http://schemas.openxmlformats.org/officeDocument/2006/customXml" ds:itemID="{3CD01B8B-EA75-483B-8C29-9D1C8CE60AAF}">
  <ds:schemaRefs/>
</ds:datastoreItem>
</file>

<file path=customXml/itemProps7.xml><?xml version="1.0" encoding="utf-8"?>
<ds:datastoreItem xmlns:ds="http://schemas.openxmlformats.org/officeDocument/2006/customXml" ds:itemID="{AD2EDAAE-8BE7-40DD-91F5-823AD5274042}">
  <ds:schemaRefs/>
</ds:datastoreItem>
</file>

<file path=customXml/itemProps8.xml><?xml version="1.0" encoding="utf-8"?>
<ds:datastoreItem xmlns:ds="http://schemas.openxmlformats.org/officeDocument/2006/customXml" ds:itemID="{B60D89E4-43AF-4375-BCF7-24AEE3F42AC0}">
  <ds:schemaRefs/>
</ds:datastoreItem>
</file>

<file path=customXml/itemProps9.xml><?xml version="1.0" encoding="utf-8"?>
<ds:datastoreItem xmlns:ds="http://schemas.openxmlformats.org/officeDocument/2006/customXml" ds:itemID="{3DC9BDEA-9A96-4DDF-A844-6916712F7A6F}">
  <ds:schemaRefs/>
</ds:datastoreItem>
</file>

<file path=customXml/itemProps10.xml><?xml version="1.0" encoding="utf-8"?>
<ds:datastoreItem xmlns:ds="http://schemas.openxmlformats.org/officeDocument/2006/customXml" ds:itemID="{DB5E2CDE-734D-49E4-B879-691FE2DD0327}">
  <ds:schemaRefs/>
</ds:datastoreItem>
</file>

<file path=customXml/itemProps11.xml><?xml version="1.0" encoding="utf-8"?>
<ds:datastoreItem xmlns:ds="http://schemas.openxmlformats.org/officeDocument/2006/customXml" ds:itemID="{224D4917-B9E5-4CBC-B450-48E1829B703D}">
  <ds:schemaRefs/>
</ds:datastoreItem>
</file>

<file path=customXml/itemProps12.xml><?xml version="1.0" encoding="utf-8"?>
<ds:datastoreItem xmlns:ds="http://schemas.openxmlformats.org/officeDocument/2006/customXml" ds:itemID="{867D562B-909C-430F-BCF0-391D353F0CFD}">
  <ds:schemaRefs/>
</ds:datastoreItem>
</file>

<file path=customXml/itemProps13.xml><?xml version="1.0" encoding="utf-8"?>
<ds:datastoreItem xmlns:ds="http://schemas.openxmlformats.org/officeDocument/2006/customXml" ds:itemID="{DEB39C39-A355-4FE5-AB48-A57DEBF85B56}">
  <ds:schemaRefs/>
</ds:datastoreItem>
</file>

<file path=customXml/itemProps14.xml><?xml version="1.0" encoding="utf-8"?>
<ds:datastoreItem xmlns:ds="http://schemas.openxmlformats.org/officeDocument/2006/customXml" ds:itemID="{01FD9A65-ACBC-427C-8841-46C4257D6956}">
  <ds:schemaRefs/>
</ds:datastoreItem>
</file>

<file path=customXml/itemProps15.xml><?xml version="1.0" encoding="utf-8"?>
<ds:datastoreItem xmlns:ds="http://schemas.openxmlformats.org/officeDocument/2006/customXml" ds:itemID="{E3802AA0-E929-4743-B6C3-4FBA2A0C7F82}">
  <ds:schemaRefs>
    <ds:schemaRef ds:uri="http://schemas.microsoft.com/DataMashup"/>
  </ds:schemaRefs>
</ds:datastoreItem>
</file>

<file path=customXml/itemProps16.xml><?xml version="1.0" encoding="utf-8"?>
<ds:datastoreItem xmlns:ds="http://schemas.openxmlformats.org/officeDocument/2006/customXml" ds:itemID="{D17157AD-4428-4061-A42E-DDB292F576F7}">
  <ds:schemaRefs/>
</ds:datastoreItem>
</file>

<file path=customXml/itemProps17.xml><?xml version="1.0" encoding="utf-8"?>
<ds:datastoreItem xmlns:ds="http://schemas.openxmlformats.org/officeDocument/2006/customXml" ds:itemID="{B9025EC5-45A0-475B-BBBA-E2B5837D8DB5}">
  <ds:schemaRefs/>
</ds:datastoreItem>
</file>

<file path=customXml/itemProps18.xml><?xml version="1.0" encoding="utf-8"?>
<ds:datastoreItem xmlns:ds="http://schemas.openxmlformats.org/officeDocument/2006/customXml" ds:itemID="{F470EDBD-B141-426B-A03D-60638DD74D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Pivote Report</vt:lpstr>
      <vt:lpstr>Dashboard</vt:lpstr>
      <vt:lpstr>Average wait time daily trends</vt:lpstr>
      <vt:lpstr>Daily no. of Patient</vt:lpstr>
      <vt:lpstr>Satisfaction of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Patel</dc:creator>
  <cp:lastModifiedBy>Ansh Patel</cp:lastModifiedBy>
  <cp:lastPrinted>2026-08-16T09:57:52Z</cp:lastPrinted>
  <dcterms:created xsi:type="dcterms:W3CDTF">2026-08-16T04:23:14Z</dcterms:created>
  <dcterms:modified xsi:type="dcterms:W3CDTF">2026-10-11T13:24:10Z</dcterms:modified>
</cp:coreProperties>
</file>